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IT Financials" sheetId="3" state="visible" r:id="rId5"/>
    <sheet name="NAV Valuation" sheetId="4" state="visible" r:id="rId6"/>
    <sheet name="DDM Valuation" sheetId="5" state="visible" r:id="rId7"/>
    <sheet name="DCF Valuation" sheetId="6" state="visible" r:id="rId8"/>
    <sheet name="Cap Rate Analysis" sheetId="7" state="visible" r:id="rId9"/>
    <sheet name="Sensitivity Analysis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<sst xmlns="http://schemas.openxmlformats.org/spreadsheetml/2006/main" count="457" uniqueCount="390">
  <si>
    <t xml:space="preserve">ILAM FAHARI I-REIT — LISTED REIT VALUATION MODEL</t>
  </si>
  <si>
    <t xml:space="preserve">NSE: FAHR  |  Kenya's Only Listed REIT  |  KES '000 unless stated</t>
  </si>
  <si>
    <t xml:space="preserve">REIT Name</t>
  </si>
  <si>
    <t xml:space="preserve">ILAM Fahari I-REIT</t>
  </si>
  <si>
    <t xml:space="preserve">Ticker</t>
  </si>
  <si>
    <t xml:space="preserve">NSE: FAHR</t>
  </si>
  <si>
    <t xml:space="preserve">Type</t>
  </si>
  <si>
    <t xml:space="preserve">Income REIT (I-REIT) — Commercial Real Estate</t>
  </si>
  <si>
    <t xml:space="preserve">Trustee</t>
  </si>
  <si>
    <t xml:space="preserve">Kenya Commercial Bank Nominees Limited</t>
  </si>
  <si>
    <t xml:space="preserve">REIT Manager</t>
  </si>
  <si>
    <t xml:space="preserve">ICEA Lion Asset Management (ILAM)</t>
  </si>
  <si>
    <t xml:space="preserve">Portfolio</t>
  </si>
  <si>
    <t xml:space="preserve">Greenspan Mall (Donholm), Bay Holdings (Mombasa Rd), 67 Gitanga Rd, Karen</t>
  </si>
  <si>
    <t xml:space="preserve">Units in Issue</t>
  </si>
  <si>
    <t xml:space="preserve">180,541,176</t>
  </si>
  <si>
    <t xml:space="preserve">Market Price (KES)</t>
  </si>
  <si>
    <t xml:space="preserve">6.00</t>
  </si>
  <si>
    <t xml:space="preserve">Market Cap (KES mn)</t>
  </si>
  <si>
    <t xml:space="preserve">~1,083</t>
  </si>
  <si>
    <t xml:space="preserve">NAV per Unit (KES)</t>
  </si>
  <si>
    <t xml:space="preserve">28.69</t>
  </si>
  <si>
    <t xml:space="preserve">NAV Discount</t>
  </si>
  <si>
    <t xml:space="preserve">(79.1%) — stock trades at 79% discount to NAV</t>
  </si>
  <si>
    <t xml:space="preserve">Currency</t>
  </si>
  <si>
    <t xml:space="preserve">Kenya Shillings (KES '000)</t>
  </si>
  <si>
    <t xml:space="preserve">Data Source</t>
  </si>
  <si>
    <t xml:space="preserve">ILAM Fahari I-REIT Annual Report &amp; Accounts 2024</t>
  </si>
  <si>
    <t xml:space="preserve">Valuation Methods</t>
  </si>
  <si>
    <t xml:space="preserve">NAV, DDM (Gordon Growth), DCF, Capitalisation Rate</t>
  </si>
  <si>
    <t xml:space="preserve">MODEL STRUCTURE</t>
  </si>
  <si>
    <t xml:space="preserve">1</t>
  </si>
  <si>
    <t xml:space="preserve">Cover</t>
  </si>
  <si>
    <t xml:space="preserve">Overview, REIT profile, tab index</t>
  </si>
  <si>
    <t xml:space="preserve">2</t>
  </si>
  <si>
    <t xml:space="preserve">Assumptions</t>
  </si>
  <si>
    <t xml:space="preserve">All key inputs: cap rate, growth, discount rate, occupancy</t>
  </si>
  <si>
    <t xml:space="preserve">3</t>
  </si>
  <si>
    <t xml:space="preserve">REIT Financials</t>
  </si>
  <si>
    <t xml:space="preserve">Income Statement, Balance Sheet, NAV Statement</t>
  </si>
  <si>
    <t xml:space="preserve">4</t>
  </si>
  <si>
    <t xml:space="preserve">NAV Valuation</t>
  </si>
  <si>
    <t xml:space="preserve">Net Asset Value per unit — primary REIT valuation metric</t>
  </si>
  <si>
    <t xml:space="preserve">5</t>
  </si>
  <si>
    <t xml:space="preserve">DDM Valuation</t>
  </si>
  <si>
    <t xml:space="preserve">Dividend Discount Model — Gordon Growth Model</t>
  </si>
  <si>
    <t xml:space="preserve">6</t>
  </si>
  <si>
    <t xml:space="preserve">DCF Valuation</t>
  </si>
  <si>
    <t xml:space="preserve">Discounted Cash Flow on Free Cash Flow to Equity</t>
  </si>
  <si>
    <t xml:space="preserve">7</t>
  </si>
  <si>
    <t xml:space="preserve">Cap Rate Analysis</t>
  </si>
  <si>
    <t xml:space="preserve">Capitalisation rate benchmarking and implied values</t>
  </si>
  <si>
    <t xml:space="preserve">8</t>
  </si>
  <si>
    <t xml:space="preserve">Sensitivity Analysis</t>
  </si>
  <si>
    <t xml:space="preserve">NAV, cap rate, DPU vs required yield tables</t>
  </si>
  <si>
    <t xml:space="preserve">9</t>
  </si>
  <si>
    <t xml:space="preserve">Summary</t>
  </si>
  <si>
    <t xml:space="preserve">Valuation bridge, recommendation, REIT investment thesis</t>
  </si>
  <si>
    <t xml:space="preserve">ASSUMPTIONS &amp; KEY INPUTS — ILAM FAHARI I-REIT</t>
  </si>
  <si>
    <t xml:space="preserve">Blue = editable | Yellow = key assumption | Green = formula</t>
  </si>
  <si>
    <t xml:space="preserve">A. PROPERTY &amp; INCOME ASSUMPTIONS</t>
  </si>
  <si>
    <t xml:space="preserve">Portfolio Fair Value (KES '000)</t>
  </si>
  <si>
    <t xml:space="preserve">Source: Valuation Report 2024</t>
  </si>
  <si>
    <t xml:space="preserve">Market Cap Rate (Entry)</t>
  </si>
  <si>
    <t xml:space="preserve">NOI/Portfolio Value</t>
  </si>
  <si>
    <t xml:space="preserve">Target Cap Rate (Exit/Market)</t>
  </si>
  <si>
    <t xml:space="preserve">Market normalisation assumption ← KEY</t>
  </si>
  <si>
    <t xml:space="preserve">Occupancy Rate (Current)</t>
  </si>
  <si>
    <t xml:space="preserve">Portfolio weighted average</t>
  </si>
  <si>
    <t xml:space="preserve">Stabilised Occupancy (Target)</t>
  </si>
  <si>
    <t xml:space="preserve">Sector norm for commercial RE</t>
  </si>
  <si>
    <t xml:space="preserve">Gross Rental Yield</t>
  </si>
  <si>
    <t xml:space="preserve">Gross rental/portfolio value</t>
  </si>
  <si>
    <t xml:space="preserve">Rental Growth Rate pa (FY2025E)</t>
  </si>
  <si>
    <t xml:space="preserve">CPI + modest real growth</t>
  </si>
  <si>
    <t xml:space="preserve">Long-term Rental Growth Rate</t>
  </si>
  <si>
    <t xml:space="preserve">Terminal growth</t>
  </si>
  <si>
    <t xml:space="preserve">Property Cost Ratio (% of Revenue)</t>
  </si>
  <si>
    <t xml:space="preserve">Maintenance + management</t>
  </si>
  <si>
    <t xml:space="preserve">Management Fee (% AUM)</t>
  </si>
  <si>
    <t xml:space="preserve">~0.73% of portfolio value pa</t>
  </si>
  <si>
    <t xml:space="preserve">Finance Cost (% of Borrowings)</t>
  </si>
  <si>
    <t xml:space="preserve">Cost of debt on borrowings</t>
  </si>
  <si>
    <t xml:space="preserve">Tax Rate</t>
  </si>
  <si>
    <t xml:space="preserve">REITs are tax-exempt in Kenya</t>
  </si>
  <si>
    <t xml:space="preserve">Distribution Payout (% of Distributable Income)</t>
  </si>
  <si>
    <t xml:space="preserve">Policy: min 80% required</t>
  </si>
  <si>
    <t xml:space="preserve">B. DISCOUNT RATE &amp; WACC</t>
  </si>
  <si>
    <t xml:space="preserve">Risk-Free Rate (10-yr KE Treasury)</t>
  </si>
  <si>
    <t xml:space="preserve">Kenya 10-yr sovereign</t>
  </si>
  <si>
    <t xml:space="preserve">Real Estate Risk Premium</t>
  </si>
  <si>
    <t xml:space="preserve">Illiquidity + sector risk</t>
  </si>
  <si>
    <t xml:space="preserve">REIT-Specific Beta</t>
  </si>
  <si>
    <t xml:space="preserve">Listed REIT — lower β than equities</t>
  </si>
  <si>
    <t xml:space="preserve">Required Return on Equity (REIT)</t>
  </si>
  <si>
    <t xml:space="preserve">Cost of Debt (pre-tax)</t>
  </si>
  <si>
    <t xml:space="preserve">KCB loan rate assumption</t>
  </si>
  <si>
    <t xml:space="preserve">Debt/Total Capital</t>
  </si>
  <si>
    <t xml:space="preserve">Borrowings/(Borrowings+NAV)</t>
  </si>
  <si>
    <t xml:space="preserve">WACC</t>
  </si>
  <si>
    <t xml:space="preserve">Blended cost of capital</t>
  </si>
  <si>
    <t xml:space="preserve">Perpetuity Growth Rate (DDM/DCF)</t>
  </si>
  <si>
    <t xml:space="preserve">Long-run rental growth</t>
  </si>
  <si>
    <t xml:space="preserve">C. MARKET DATA</t>
  </si>
  <si>
    <t xml:space="preserve">Units in Issue ('000)</t>
  </si>
  <si>
    <t xml:space="preserve">ILAM Fahari I-REIT AR 2024</t>
  </si>
  <si>
    <t xml:space="preserve">Current Market Price (KES)</t>
  </si>
  <si>
    <t xml:space="preserve">Market Capitalisation (KES '000)</t>
  </si>
  <si>
    <t xml:space="preserve">Total Borrowings (KES '000)</t>
  </si>
  <si>
    <t xml:space="preserve">Balance Sheet</t>
  </si>
  <si>
    <t xml:space="preserve">Cash &amp; Equivalents (KES '000)</t>
  </si>
  <si>
    <t xml:space="preserve">Enterprise Value (KES '000)</t>
  </si>
  <si>
    <t xml:space="preserve">REIT FINANCIAL STATEMENTS — ILAM FAHARI I-REIT</t>
  </si>
  <si>
    <t xml:space="preserve">KES '000 | Source: ILAM Fahari I-REIT Annual Report 2024</t>
  </si>
  <si>
    <t xml:space="preserve">LINE ITEM</t>
  </si>
  <si>
    <t xml:space="preserve">FY2023</t>
  </si>
  <si>
    <t xml:space="preserve">FY2024</t>
  </si>
  <si>
    <t xml:space="preserve">YoY%</t>
  </si>
  <si>
    <t xml:space="preserve">% of Revenue</t>
  </si>
  <si>
    <t xml:space="preserve">INCOME STATEMENT</t>
  </si>
  <si>
    <t xml:space="preserve">Gross Rental Income</t>
  </si>
  <si>
    <t xml:space="preserve">Other Income</t>
  </si>
  <si>
    <t xml:space="preserve">Total Revenue</t>
  </si>
  <si>
    <t xml:space="preserve">Property Management Fee</t>
  </si>
  <si>
    <t xml:space="preserve">Property Costs &amp; Rates</t>
  </si>
  <si>
    <t xml:space="preserve">Administration Costs</t>
  </si>
  <si>
    <t xml:space="preserve">Total Operating Costs</t>
  </si>
  <si>
    <t xml:space="preserve">Net Operating Income (NOI)</t>
  </si>
  <si>
    <t xml:space="preserve">Finance Costs</t>
  </si>
  <si>
    <t xml:space="preserve">Profit Before Distribution</t>
  </si>
  <si>
    <t xml:space="preserve">Tax (Exempt for REIT)</t>
  </si>
  <si>
    <t xml:space="preserve">Distributable Income</t>
  </si>
  <si>
    <t xml:space="preserve">Distributions Paid</t>
  </si>
  <si>
    <t xml:space="preserve">DPU (KES per unit)</t>
  </si>
  <si>
    <t xml:space="preserve">BALANCE SHEET</t>
  </si>
  <si>
    <t xml:space="preserve">Investment Properties (Fair Value)</t>
  </si>
  <si>
    <t xml:space="preserve">Cash &amp; Cash Equivalents</t>
  </si>
  <si>
    <t xml:space="preserve">Other Assets</t>
  </si>
  <si>
    <t xml:space="preserve">Total Assets</t>
  </si>
  <si>
    <t xml:space="preserve">Borrowings</t>
  </si>
  <si>
    <t xml:space="preserve">Other Liabilities</t>
  </si>
  <si>
    <t xml:space="preserve">Total Liabilities</t>
  </si>
  <si>
    <t xml:space="preserve">Net Asset Value (NAV)</t>
  </si>
  <si>
    <t xml:space="preserve">KEY REIT METRICS</t>
  </si>
  <si>
    <t xml:space="preserve">Occupancy Rate</t>
  </si>
  <si>
    <t xml:space="preserve">Capitalisation Rate (NOI/Value)</t>
  </si>
  <si>
    <t xml:space="preserve">Net Yield (NOI after costs/Value)</t>
  </si>
  <si>
    <t xml:space="preserve">Payout Ratio (Dist/Dist Income)</t>
  </si>
  <si>
    <t xml:space="preserve">Loan-to-Value (LTV)</t>
  </si>
  <si>
    <t xml:space="preserve">NAV Discount to Market</t>
  </si>
  <si>
    <t xml:space="preserve">DPU Yield (DPU/Price)</t>
  </si>
  <si>
    <t xml:space="preserve">NET ASSET VALUE (NAV) VALUATION — PRIMARY REIT METRIC</t>
  </si>
  <si>
    <t xml:space="preserve">NAV = Total Assets - Total Liabilities | NAV/unit = intrinsic floor value for REITs</t>
  </si>
  <si>
    <t xml:space="preserve">A. DIRECT PROPERTY VALUATION (INCOME APPROACH)</t>
  </si>
  <si>
    <t xml:space="preserve">Item</t>
  </si>
  <si>
    <t xml:space="preserve">KES '000</t>
  </si>
  <si>
    <t xml:space="preserve">Notes</t>
  </si>
  <si>
    <t xml:space="preserve">Greenspan Mall (Donholm) — Fair Value</t>
  </si>
  <si>
    <t xml:space="preserve">Primary asset — 45,000 sqm GLA retail</t>
  </si>
  <si>
    <t xml:space="preserve">Bay Holdings (Mombasa Rd) — Fair Value</t>
  </si>
  <si>
    <t xml:space="preserve">26,000 sqm commercial office/retail</t>
  </si>
  <si>
    <t xml:space="preserve">67 Gitanga Road Office Park — Fair Value</t>
  </si>
  <si>
    <t xml:space="preserve">12,500 sqm commercial offices</t>
  </si>
  <si>
    <t xml:space="preserve">Karen Property — Fair Value</t>
  </si>
  <si>
    <t xml:space="preserve">Residential/mixed development</t>
  </si>
  <si>
    <t xml:space="preserve">Total Investment Property (Fair Value)</t>
  </si>
  <si>
    <t xml:space="preserve">Sum of above — CBRE valuation</t>
  </si>
  <si>
    <t xml:space="preserve">Cash &amp; Short-term Investments</t>
  </si>
  <si>
    <t xml:space="preserve">Operating &amp; reserve accounts</t>
  </si>
  <si>
    <t xml:space="preserve">Accounts Receivable &amp; Other Assets</t>
  </si>
  <si>
    <t xml:space="preserve">Rent receivables + prepayments</t>
  </si>
  <si>
    <t xml:space="preserve">Total Assets at Fair Value</t>
  </si>
  <si>
    <t xml:space="preserve">Less: Borrowings</t>
  </si>
  <si>
    <t xml:space="preserve">KCB facility — 5-yr term</t>
  </si>
  <si>
    <t xml:space="preserve">Less: Other Liabilities</t>
  </si>
  <si>
    <t xml:space="preserve">Payables + accruals</t>
  </si>
  <si>
    <t xml:space="preserve">NET ASSET VALUE (NAV)</t>
  </si>
  <si>
    <t xml:space="preserve">PRIMARY VALUATION OUTPUT</t>
  </si>
  <si>
    <t xml:space="preserve">← KEY OUTPUT</t>
  </si>
  <si>
    <t xml:space="preserve">Premium/(Discount) to NAV</t>
  </si>
  <si>
    <t xml:space="preserve">(Market Price - NAV/Unit)/NAV/Unit</t>
  </si>
  <si>
    <t xml:space="preserve">B. CAPITALISATION RATE SENSITIVITY — IMPLIED PROPERTY VALUE</t>
  </si>
  <si>
    <t xml:space="preserve">Cap Rate applied to NOI: Value = NOI / Cap Rate</t>
  </si>
  <si>
    <t xml:space="preserve">Cap Rate</t>
  </si>
  <si>
    <t xml:space="preserve">Implied Portfolio Value (KES '000)</t>
  </si>
  <si>
    <t xml:space="preserve">Implied NAV/Unit (KES)</t>
  </si>
  <si>
    <t xml:space="preserve">5.5%</t>
  </si>
  <si>
    <t xml:space="preserve">6.0%</t>
  </si>
  <si>
    <t xml:space="preserve">6.5%</t>
  </si>
  <si>
    <t xml:space="preserve">7.0%</t>
  </si>
  <si>
    <t xml:space="preserve">7.5%</t>
  </si>
  <si>
    <t xml:space="preserve">8.0%</t>
  </si>
  <si>
    <t xml:space="preserve">8.5%</t>
  </si>
  <si>
    <t xml:space="preserve">9.0%</t>
  </si>
  <si>
    <t xml:space="preserve">DIVIDEND DISCOUNT MODEL (DDM) — GORDON GROWTH MODEL</t>
  </si>
  <si>
    <t xml:space="preserve">P = DPU₁ / (r - g)  |  REITs distribute ≥80% of income — DDM is a core valuation method</t>
  </si>
  <si>
    <t xml:space="preserve">A. GORDON GROWTH MODEL INPUTS</t>
  </si>
  <si>
    <t xml:space="preserve">Input</t>
  </si>
  <si>
    <t xml:space="preserve">Value</t>
  </si>
  <si>
    <t xml:space="preserve">Source</t>
  </si>
  <si>
    <t xml:space="preserve">Sensitivity Range</t>
  </si>
  <si>
    <t xml:space="preserve">DPU FY2024 (KES per unit)</t>
  </si>
  <si>
    <t xml:space="preserve">Actual paid</t>
  </si>
  <si>
    <t xml:space="preserve">DPU Growth Year 1 (g₁)</t>
  </si>
  <si>
    <t xml:space="preserve">Rental growth assumption</t>
  </si>
  <si>
    <t xml:space="preserve">DPU Growth Year 2 (g₂)</t>
  </si>
  <si>
    <t xml:space="preserve">DPU Growth Year 3 (g₃)</t>
  </si>
  <si>
    <t xml:space="preserve">DPU Growth Year 4 (g₄)</t>
  </si>
  <si>
    <t xml:space="preserve">DPU Growth Year 5 (g₅)</t>
  </si>
  <si>
    <t xml:space="preserve">Terminal Growth Rate (g_t)</t>
  </si>
  <si>
    <t xml:space="preserve">Long-run rental + inflation</t>
  </si>
  <si>
    <t xml:space="preserve">Required Return on Equity (r)</t>
  </si>
  <si>
    <t xml:space="preserve">From Assumptions sheet</t>
  </si>
  <si>
    <t xml:space="preserve">DDM Discount Rate Used</t>
  </si>
  <si>
    <t xml:space="preserve">Required equity return ← KEY</t>
  </si>
  <si>
    <t xml:space="preserve">B. MULTI-STAGE DDM (5-YEAR EXPLICIT + TERMINAL)</t>
  </si>
  <si>
    <t xml:space="preserve">Year</t>
  </si>
  <si>
    <t xml:space="preserve">DPU (KES)</t>
  </si>
  <si>
    <t xml:space="preserve">PV Factor</t>
  </si>
  <si>
    <t xml:space="preserve">PV of DPU (KES)</t>
  </si>
  <si>
    <t xml:space="preserve">Year 1 (FY2025E)</t>
  </si>
  <si>
    <t xml:space="preserve">Year 2 (FY2026E)</t>
  </si>
  <si>
    <t xml:space="preserve">Year 3 (FY2027E)</t>
  </si>
  <si>
    <t xml:space="preserve">Year 4 (FY2028E)</t>
  </si>
  <si>
    <t xml:space="preserve">Year 5 (FY2029E)</t>
  </si>
  <si>
    <t xml:space="preserve">Sum of PV (Year 1–5)</t>
  </si>
  <si>
    <t xml:space="preserve">Terminal DPU (Year 5 × (1+g_t))</t>
  </si>
  <si>
    <t xml:space="preserve">Terminal Value = Term DPU / (r - g_t)</t>
  </si>
  <si>
    <t xml:space="preserve">PV of Terminal Value</t>
  </si>
  <si>
    <t xml:space="preserve">DDM FAIR VALUE PER UNIT (KES)</t>
  </si>
  <si>
    <t xml:space="preserve">Upside / (Downside) to DDM Value</t>
  </si>
  <si>
    <t xml:space="preserve">C. SIMPLE GORDON GROWTH: P = DPU₁/(r-g)</t>
  </si>
  <si>
    <t xml:space="preserve">Forward DPU (DPU₀ × (1+g))</t>
  </si>
  <si>
    <t xml:space="preserve">Gordon GGM Value = DPU₁/(r-g)</t>
  </si>
  <si>
    <t xml:space="preserve">Premium/(Discount) to Market</t>
  </si>
  <si>
    <t xml:space="preserve">D. DPU vs REQUIRED YIELD — GORDON GROWTH SENSITIVITY (KES per unit)</t>
  </si>
  <si>
    <t xml:space="preserve">DPU ↓ / Yield →</t>
  </si>
  <si>
    <t xml:space="preserve">8%</t>
  </si>
  <si>
    <t xml:space="preserve">9%</t>
  </si>
  <si>
    <t xml:space="preserve">10%</t>
  </si>
  <si>
    <t xml:space="preserve">11%</t>
  </si>
  <si>
    <t xml:space="preserve">12%</t>
  </si>
  <si>
    <t xml:space="preserve">13%</t>
  </si>
  <si>
    <t xml:space="preserve">15%</t>
  </si>
  <si>
    <t xml:space="preserve">18%</t>
  </si>
  <si>
    <t xml:space="preserve">KES 1.00</t>
  </si>
  <si>
    <t xml:space="preserve">KES 1.10</t>
  </si>
  <si>
    <t xml:space="preserve">KES 1.20</t>
  </si>
  <si>
    <t xml:space="preserve">KES 1.25</t>
  </si>
  <si>
    <t xml:space="preserve">KES 1.30</t>
  </si>
  <si>
    <t xml:space="preserve">KES 1.40</t>
  </si>
  <si>
    <t xml:space="preserve">KES 1.50</t>
  </si>
  <si>
    <t xml:space="preserve">KES 1.75</t>
  </si>
  <si>
    <t xml:space="preserve">DCF VALUATION — FREE CASH FLOW TO EQUITY (FCFE)</t>
  </si>
  <si>
    <t xml:space="preserve">REIT FCFE = Distributable Income + D&amp;A - Capex (maintenance) - ΔNWC</t>
  </si>
  <si>
    <t xml:space="preserve">PROJECTION ITEM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</si>
  <si>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</si>
  <si>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</si>
  <si>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</si>
  <si>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</si>
  <si>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</si>
  <si>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FY2030E (TV)</t>
  </si>
  <si>
    <t xml:space="preserve">INCOME PROJECTIONS</t>
  </si>
  <si>
    <t xml:space="preserve">Property Costs &amp; Opex</t>
  </si>
  <si>
    <t xml:space="preserve">Add: Depreciation (non-cash)</t>
  </si>
  <si>
    <t xml:space="preserve">Less: Maintenance Capex</t>
  </si>
  <si>
    <t xml:space="preserve">FREE CASH FLOW TO EQUITY</t>
  </si>
  <si>
    <t xml:space="preserve">DISCOUNTING &amp; VALUATION</t>
  </si>
  <si>
    <t xml:space="preserve">Discount Period</t>
  </si>
  <si>
    <t xml:space="preserve">Discount Factor (WACC)</t>
  </si>
  <si>
    <t xml:space="preserve">PV of FCFE</t>
  </si>
  <si>
    <t xml:space="preserve">TERMINAL VALUE &amp; EQUITY BRIDGE</t>
  </si>
  <si>
    <t xml:space="preserve">Sum of PV FCFEs (Years 1–5)</t>
  </si>
  <si>
    <t xml:space="preserve">Terminal Year FCFE (× (1+g))</t>
  </si>
  <si>
    <t xml:space="preserve">Terminal Value (Gordon Growth)</t>
  </si>
  <si>
    <t xml:space="preserve">Total Equity Value (KES '000)</t>
  </si>
  <si>
    <t xml:space="preserve">DCF Fair Value per Unit (KES)</t>
  </si>
  <si>
    <t xml:space="preserve">Upside / (Downside)</t>
  </si>
  <si>
    <t xml:space="preserve">CAPITALISATION RATE ANALYSIS</t>
  </si>
  <si>
    <t xml:space="preserve">Cap Rate = NOI / Property Value | Fundamental pricing mechanism for income properties</t>
  </si>
  <si>
    <t xml:space="preserve">A. FAHARI I-REIT — CURRENT CAP RATE BREAKDOWN</t>
  </si>
  <si>
    <t xml:space="preserve">Metric</t>
  </si>
  <si>
    <t xml:space="preserve">Commentary</t>
  </si>
  <si>
    <t xml:space="preserve">FY2024 actual</t>
  </si>
  <si>
    <t xml:space="preserve">Portfolio Value (Fair Value)</t>
  </si>
  <si>
    <t xml:space="preserve">CBRE external valuation</t>
  </si>
  <si>
    <t xml:space="preserve">In-Place Cap Rate (NOI/Value)</t>
  </si>
  <si>
    <t xml:space="preserve">Current yield on portfolio</t>
  </si>
  <si>
    <t xml:space="preserve">Before costs</t>
  </si>
  <si>
    <t xml:space="preserve">Net Yield (after finance)</t>
  </si>
  <si>
    <t xml:space="preserve">Occupancy Drag (1-Occ)</t>
  </si>
  <si>
    <t xml:space="preserve">19% vacancy dragging yield</t>
  </si>
  <si>
    <t xml:space="preserve">Stabilised Cap Rate (at 90% occ)</t>
  </si>
  <si>
    <t xml:space="preserve">Full occupancy potential</t>
  </si>
  <si>
    <t xml:space="preserve">B. NAIROBI MARKET CAP RATE BENCHMARKS</t>
  </si>
  <si>
    <t xml:space="preserve">Property Type</t>
  </si>
  <si>
    <t xml:space="preserve">Market Cap Rate</t>
  </si>
  <si>
    <t xml:space="preserve">Sub-Market</t>
  </si>
  <si>
    <t xml:space="preserve">Grade A Retail (Westgate, Garden City)</t>
  </si>
  <si>
    <t xml:space="preserve">7.5–8.5%</t>
  </si>
  <si>
    <t xml:space="preserve">Nairobi Westlands</t>
  </si>
  <si>
    <t xml:space="preserve">Prime malls; strong anchors</t>
  </si>
  <si>
    <t xml:space="preserve">Grade B Retail (Neighbourhood malls)</t>
  </si>
  <si>
    <t xml:space="preserve">9.5–11.0%</t>
  </si>
  <si>
    <t xml:space="preserve">Nairobi suburbs</t>
  </si>
  <si>
    <t xml:space="preserve">Greenspan fits this bucket</t>
  </si>
  <si>
    <t xml:space="preserve">Grade A Office (Upper Hill, Westlands)</t>
  </si>
  <si>
    <t xml:space="preserve">8.0–9.0%</t>
  </si>
  <si>
    <t xml:space="preserve">Upper Hill / Westlands</t>
  </si>
  <si>
    <t xml:space="preserve">Trophy offices</t>
  </si>
  <si>
    <t xml:space="preserve">Grade B Office (Kilimani, Gigiri)</t>
  </si>
  <si>
    <t xml:space="preserve">10.0–12.0%</t>
  </si>
  <si>
    <t xml:space="preserve">Mid-tier locations</t>
  </si>
  <si>
    <t xml:space="preserve">67 Gitanga Road fits here</t>
  </si>
  <si>
    <t xml:space="preserve">Industrial / Logistics</t>
  </si>
  <si>
    <t xml:space="preserve">8.5–10.0%</t>
  </si>
  <si>
    <t xml:space="preserve">Mombasa Rd corridor</t>
  </si>
  <si>
    <t xml:space="preserve">Residential (upscale)</t>
  </si>
  <si>
    <t xml:space="preserve">5.0–6.5%</t>
  </si>
  <si>
    <t xml:space="preserve">Karen, Muthaiga</t>
  </si>
  <si>
    <t xml:space="preserve">Karen property</t>
  </si>
  <si>
    <t xml:space="preserve">ILAM Fahari Portfolio (blended)</t>
  </si>
  <si>
    <t xml:space="preserve">5.7%</t>
  </si>
  <si>
    <t xml:space="preserve">Mixed</t>
  </si>
  <si>
    <t xml:space="preserve">Blended in-place cap rate</t>
  </si>
  <si>
    <t xml:space="preserve">C. IMPLIED VALUE AT DIFFERENT CAP RATES (NOI = KES 324,974K)</t>
  </si>
  <si>
    <t xml:space="preserve">Implied Portfolio Value</t>
  </si>
  <si>
    <t xml:space="preserve">vs Current KES 6.00</t>
  </si>
  <si>
    <t xml:space="preserve">5.0%</t>
  </si>
  <si>
    <t xml:space="preserve">9.5%</t>
  </si>
  <si>
    <t xml:space="preserve">10.0%</t>
  </si>
  <si>
    <t xml:space="preserve">SENSITIVITY ANALYSIS — ILAM FAHARI I-REIT</t>
  </si>
  <si>
    <t xml:space="preserve">Key sensitivities: cap rate, occupancy, DPU growth, required return</t>
  </si>
  <si>
    <t xml:space="preserve">TABLE 1: DDM FAIR VALUE (KES) — Required Return vs DPU Growth Rate</t>
  </si>
  <si>
    <t xml:space="preserve">Req.Return ↓ / DPU Gr →</t>
  </si>
  <si>
    <t xml:space="preserve">2.0%</t>
  </si>
  <si>
    <t xml:space="preserve">3.0%</t>
  </si>
  <si>
    <t xml:space="preserve">4.0%</t>
  </si>
  <si>
    <t xml:space="preserve">N/M</t>
  </si>
  <si>
    <t xml:space="preserve">TABLE 2: NAV PER UNIT (KES) — Cap Rate vs Occupancy Rate</t>
  </si>
  <si>
    <t xml:space="preserve">Cap Rate ↓ / Occ →</t>
  </si>
  <si>
    <t xml:space="preserve">70%</t>
  </si>
  <si>
    <t xml:space="preserve">75%</t>
  </si>
  <si>
    <t xml:space="preserve">80%</t>
  </si>
  <si>
    <t xml:space="preserve">85%</t>
  </si>
  <si>
    <t xml:space="preserve">90%</t>
  </si>
  <si>
    <t xml:space="preserve">92%</t>
  </si>
  <si>
    <t xml:space="preserve">95%</t>
  </si>
  <si>
    <t xml:space="preserve">TABLE 3: DPU (KES) vs REQUIRED YIELD — GORDON GROWTH FAIR VALUE</t>
  </si>
  <si>
    <t xml:space="preserve">DPU ↓ / Req Yield →</t>
  </si>
  <si>
    <t xml:space="preserve">6%</t>
  </si>
  <si>
    <t xml:space="preserve">7%</t>
  </si>
  <si>
    <t xml:space="preserve">KES 0.80</t>
  </si>
  <si>
    <t xml:space="preserve">KES 0.90</t>
  </si>
  <si>
    <t xml:space="preserve">INVESTMENT SUMMARY — ILAM FAHARI I-REIT</t>
  </si>
  <si>
    <t xml:space="preserve">REIT Valuation Synthesis | Recommendation | Investment Thesis</t>
  </si>
  <si>
    <t xml:space="preserve">VALUATION SUMMARY BRIDGE</t>
  </si>
  <si>
    <t xml:space="preserve">Method</t>
  </si>
  <si>
    <t xml:space="preserve">Fair Value / Unit (KES)</t>
  </si>
  <si>
    <t xml:space="preserve">Weight</t>
  </si>
  <si>
    <t xml:space="preserve">NAV per Unit (Direct Valuation)</t>
  </si>
  <si>
    <t xml:space="preserve">Primary metric — asset-backed floor value</t>
  </si>
  <si>
    <t xml:space="preserve">Cap Rate Implied (at 8.0% market rate)</t>
  </si>
  <si>
    <t xml:space="preserve">Market-rate normalised value</t>
  </si>
  <si>
    <t xml:space="preserve">DDM — Gordon Growth (r=15%)</t>
  </si>
  <si>
    <t xml:space="preserve">Required yield approach</t>
  </si>
  <si>
    <t xml:space="preserve">DCF (FCFE, WACC=14%)</t>
  </si>
  <si>
    <t xml:space="preserve">Conservative FCF approach</t>
  </si>
  <si>
    <t xml:space="preserve">WEIGHTED AVERAGE FAIR VALUE (KES)</t>
  </si>
  <si>
    <t xml:space="preserve">CURRENT MARKET vs FAIR VALUE</t>
  </si>
  <si>
    <t xml:space="preserve">Current Market Price (NSE: FAHR)</t>
  </si>
  <si>
    <t xml:space="preserve">Weighted Average Fair Value</t>
  </si>
  <si>
    <t xml:space="preserve">NAV per Unit (Book Value)</t>
  </si>
  <si>
    <t xml:space="preserve">Premium/(Discount) to WAV</t>
  </si>
  <si>
    <t xml:space="preserve">INVESTMENT RECOMMENDATION</t>
  </si>
  <si>
    <t xml:space="preserve">Rating</t>
  </si>
  <si>
    <t xml:space="preserve">BUY</t>
  </si>
  <si>
    <t xml:space="preserve">Primary Catalyst</t>
  </si>
  <si>
    <t xml:space="preserve">Occupancy recovery → NOI growth → NAV re-rating</t>
  </si>
  <si>
    <t xml:space="preserve">INVESTMENT THESIS</t>
  </si>
  <si>
    <t xml:space="preserve">79% discount to NAV</t>
  </si>
  <si>
    <t xml:space="preserve">The stock trades at KES 6.00 vs NAV of KES 28.69 — a 79.1% discount. For an income REIT holding tangible, valued properties, this is the defining mispricing. The discount implies either the market prices in fire-sale asset disposals or sustained income deterioration — neither of which is supported by the current portfolio operations.</t>
  </si>
  <si>
    <t xml:space="preserve">18.5% DPU yield at current price</t>
  </si>
  <si>
    <t xml:space="preserve">At KES 6.00/unit with DPU of KES 1.25, the dividend yield is 20.8%. Even after stress-testing occupancy lower and applying a 10% market cap rate (distressed), the DDM fair value exceeds KES 13 — more than double current price.</t>
  </si>
  <si>
    <t xml:space="preserve">Occupancy recovery is the lever</t>
  </si>
  <si>
    <t xml:space="preserve">Current occupancy of 81.2% compares unfavorably to regional REIT benchmarks of 90%+. Each 1% occupancy gain adds ~KES 4.7mn to annual NOI. A recovery to 90% increases NOI by ~KES 42mn (+13%) — a clear earnings catalyst.</t>
  </si>
  <si>
    <t xml:space="preserve">Anchor-tenant risk is manageable</t>
  </si>
  <si>
    <t xml:space="preserve">Greenspan Mall (the primary asset) benefits from Naivas Supermarket and local retail anchors. The WAULT of 3.2 years creates re-leasing risk but also upside from above-inflation rent reviews in a recovering Nairobi retail market.</t>
  </si>
  <si>
    <t xml:space="preserve">Primary risk: NSE REIT liquidity</t>
  </si>
  <si>
    <t xml:space="preserve">FAHR suffers from extremely thin liquidity on the NSE — daily traded volumes are often below KES 500K. This illiquidity discount is real and structural, limiting the investor base to long-term holders willing to weather mark-to-market volatility.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</si>
</sst>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0"/>
    <numFmt numFmtId="168" formatCode="#,##0.00"/>
    <numFmt numFmtId="169" formatCode="0.00000"/>
    <numFmt numFmtId="170" formatCode="#,##0.0000"/>
    <numFmt numFmtId="171" formatCode="0"/>
    <numFmt numFmtId="172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000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9"/>
      <color rgb="FF276221"/>
      <name val="Calibri"/>
      <family val="0"/>
      <charset val="1"/>
    </font>
    <font>
      <sz val="9"/>
      <color rgb="FF008000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9"/>
      <color rgb="FF9C0006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9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6400"/>
        <bgColor rgb="FF008000"/>
      </patternFill>
    </fill>
    <fill>
      <patternFill patternType="solid">
        <fgColor rgb="FFD3D3D3"/>
        <bgColor rgb="FFDCE6F1"/>
      </patternFill>
    </fill>
    <fill>
      <patternFill patternType="solid">
        <fgColor rgb="FFDCE6F1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CE6F1"/>
      </patternFill>
    </fill>
    <fill>
      <patternFill patternType="solid">
        <fgColor rgb="FFFFC7CE"/>
        <bgColor rgb="FFD3D3D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B75"/>
      <rgbColor rgb="FFC0C0C0"/>
      <rgbColor rgb="FF808080"/>
      <rgbColor rgb="FF9999FF"/>
      <rgbColor rgb="FF993366"/>
      <rgbColor rgb="FFFFFFCC"/>
      <rgbColor rgb="FFDCE6F1"/>
      <rgbColor rgb="FF4B0082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933A"/>
      <rgbColor rgb="FFFF6600"/>
      <rgbColor rgb="FF595959"/>
      <rgbColor rgb="FF969696"/>
      <rgbColor rgb="FF002060"/>
      <rgbColor rgb="FF339966"/>
      <rgbColor rgb="FF006400"/>
      <rgbColor rgb="FF333300"/>
      <rgbColor rgb="FF993300"/>
      <rgbColor rgb="FF993366"/>
      <rgbColor rgb="FF333399"/>
      <rgbColor rgb="FF2762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0"/>
  </cols>
  <sheetData>
    <row r="1" customFormat="false" ht="24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B4" s="4" t="s">
        <v>2</v>
      </c>
      <c r="C4" s="5" t="s">
        <v>3</v>
      </c>
    </row>
    <row r="5" customFormat="false" ht="15" hidden="false" customHeight="true" outlineLevel="0" collapsed="false">
      <c r="B5" s="4" t="s">
        <v>4</v>
      </c>
      <c r="C5" s="5" t="s">
        <v>5</v>
      </c>
    </row>
    <row r="6" customFormat="false" ht="15" hidden="false" customHeight="true" outlineLevel="0" collapsed="false">
      <c r="B6" s="4" t="s">
        <v>6</v>
      </c>
      <c r="C6" s="5" t="s">
        <v>7</v>
      </c>
    </row>
    <row r="7" customFormat="false" ht="15" hidden="false" customHeight="true" outlineLevel="0" collapsed="false">
      <c r="B7" s="4" t="s">
        <v>8</v>
      </c>
      <c r="C7" s="5" t="s">
        <v>9</v>
      </c>
    </row>
    <row r="8" customFormat="false" ht="15" hidden="false" customHeight="true" outlineLevel="0" collapsed="false">
      <c r="B8" s="4" t="s">
        <v>10</v>
      </c>
      <c r="C8" s="5" t="s">
        <v>11</v>
      </c>
    </row>
    <row r="9" customFormat="false" ht="15" hidden="false" customHeight="true" outlineLevel="0" collapsed="false">
      <c r="B9" s="4" t="s">
        <v>12</v>
      </c>
      <c r="C9" s="5" t="s">
        <v>13</v>
      </c>
    </row>
    <row r="10" customFormat="false" ht="15" hidden="false" customHeight="true" outlineLevel="0" collapsed="false">
      <c r="B10" s="4" t="s">
        <v>14</v>
      </c>
      <c r="C10" s="5" t="s">
        <v>15</v>
      </c>
    </row>
    <row r="11" customFormat="false" ht="15" hidden="false" customHeight="true" outlineLevel="0" collapsed="false">
      <c r="B11" s="4" t="s">
        <v>16</v>
      </c>
      <c r="C11" s="5" t="s">
        <v>17</v>
      </c>
    </row>
    <row r="12" customFormat="false" ht="15" hidden="false" customHeight="true" outlineLevel="0" collapsed="false">
      <c r="B12" s="4" t="s">
        <v>18</v>
      </c>
      <c r="C12" s="5" t="s">
        <v>19</v>
      </c>
    </row>
    <row r="13" customFormat="false" ht="15" hidden="false" customHeight="true" outlineLevel="0" collapsed="false">
      <c r="B13" s="4" t="s">
        <v>20</v>
      </c>
      <c r="C13" s="5" t="s">
        <v>21</v>
      </c>
    </row>
    <row r="14" customFormat="false" ht="15" hidden="false" customHeight="true" outlineLevel="0" collapsed="false">
      <c r="B14" s="4" t="s">
        <v>22</v>
      </c>
      <c r="C14" s="5" t="s">
        <v>23</v>
      </c>
    </row>
    <row r="15" customFormat="false" ht="15" hidden="false" customHeight="true" outlineLevel="0" collapsed="false">
      <c r="B15" s="4" t="s">
        <v>24</v>
      </c>
      <c r="C15" s="5" t="s">
        <v>25</v>
      </c>
    </row>
    <row r="16" customFormat="false" ht="15" hidden="false" customHeight="true" outlineLevel="0" collapsed="false">
      <c r="B16" s="4" t="s">
        <v>26</v>
      </c>
      <c r="C16" s="5" t="s">
        <v>27</v>
      </c>
    </row>
    <row r="17" customFormat="false" ht="15" hidden="false" customHeight="true" outlineLevel="0" collapsed="false">
      <c r="B17" s="4" t="s">
        <v>28</v>
      </c>
      <c r="C17" s="5" t="s">
        <v>29</v>
      </c>
    </row>
    <row r="19" customFormat="false" ht="15.75" hidden="false" customHeight="true" outlineLevel="0" collapsed="false">
      <c r="A19" s="6" t="s">
        <v>30</v>
      </c>
      <c r="B19" s="7"/>
      <c r="C19" s="7"/>
    </row>
    <row r="20" customFormat="false" ht="15" hidden="false" customHeight="true" outlineLevel="0" collapsed="false">
      <c r="A20" s="8" t="s">
        <v>31</v>
      </c>
      <c r="B20" s="9" t="s">
        <v>32</v>
      </c>
      <c r="C20" s="5" t="s">
        <v>33</v>
      </c>
    </row>
    <row r="21" customFormat="false" ht="15" hidden="false" customHeight="true" outlineLevel="0" collapsed="false">
      <c r="A21" s="8" t="s">
        <v>34</v>
      </c>
      <c r="B21" s="9" t="s">
        <v>35</v>
      </c>
      <c r="C21" s="5" t="s">
        <v>36</v>
      </c>
    </row>
    <row r="22" customFormat="false" ht="15" hidden="false" customHeight="true" outlineLevel="0" collapsed="false">
      <c r="A22" s="8" t="s">
        <v>37</v>
      </c>
      <c r="B22" s="9" t="s">
        <v>38</v>
      </c>
      <c r="C22" s="5" t="s">
        <v>39</v>
      </c>
    </row>
    <row r="23" customFormat="false" ht="15" hidden="false" customHeight="true" outlineLevel="0" collapsed="false">
      <c r="A23" s="8" t="s">
        <v>40</v>
      </c>
      <c r="B23" s="9" t="s">
        <v>41</v>
      </c>
      <c r="C23" s="5" t="s">
        <v>42</v>
      </c>
    </row>
    <row r="24" customFormat="false" ht="15" hidden="false" customHeight="true" outlineLevel="0" collapsed="false">
      <c r="A24" s="8" t="s">
        <v>43</v>
      </c>
      <c r="B24" s="9" t="s">
        <v>44</v>
      </c>
      <c r="C24" s="5" t="s">
        <v>45</v>
      </c>
    </row>
    <row r="25" customFormat="false" ht="15" hidden="false" customHeight="true" outlineLevel="0" collapsed="false">
      <c r="A25" s="8" t="s">
        <v>46</v>
      </c>
      <c r="B25" s="9" t="s">
        <v>47</v>
      </c>
      <c r="C25" s="5" t="s">
        <v>48</v>
      </c>
    </row>
    <row r="26" customFormat="false" ht="15" hidden="false" customHeight="true" outlineLevel="0" collapsed="false">
      <c r="A26" s="8" t="s">
        <v>49</v>
      </c>
      <c r="B26" s="9" t="s">
        <v>50</v>
      </c>
      <c r="C26" s="5" t="s">
        <v>51</v>
      </c>
    </row>
    <row r="27" customFormat="false" ht="15" hidden="false" customHeight="true" outlineLevel="0" collapsed="false">
      <c r="A27" s="8" t="s">
        <v>52</v>
      </c>
      <c r="B27" s="9" t="s">
        <v>53</v>
      </c>
      <c r="C27" s="5" t="s">
        <v>54</v>
      </c>
    </row>
    <row r="28" customFormat="false" ht="15" hidden="false" customHeight="true" outlineLevel="0" collapsed="false">
      <c r="A28" s="8" t="s">
        <v>55</v>
      </c>
      <c r="B28" s="9" t="s">
        <v>56</v>
      </c>
      <c r="C28" s="5" t="s">
        <v>57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933A"/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35"/>
  </cols>
  <sheetData>
    <row r="1" customFormat="false" ht="24" hidden="false" customHeight="true" outlineLevel="0" collapsed="false">
      <c r="A1" s="2" t="s">
        <v>58</v>
      </c>
      <c r="B1" s="2"/>
      <c r="C1" s="2"/>
    </row>
    <row r="2" customFormat="false" ht="15" hidden="false" customHeight="true" outlineLevel="0" collapsed="false">
      <c r="A2" s="10" t="s">
        <v>59</v>
      </c>
    </row>
    <row r="4" customFormat="false" ht="15.75" hidden="false" customHeight="true" outlineLevel="0" collapsed="false">
      <c r="A4" s="6" t="s">
        <v>60</v>
      </c>
      <c r="B4" s="7"/>
      <c r="C4" s="7"/>
    </row>
    <row r="5" customFormat="false" ht="15" hidden="false" customHeight="true" outlineLevel="0" collapsed="false">
      <c r="A5" s="5" t="s">
        <v>61</v>
      </c>
      <c r="B5" s="11" t="n">
        <v>5680000</v>
      </c>
      <c r="C5" s="12" t="s">
        <v>62</v>
      </c>
    </row>
    <row r="6" customFormat="false" ht="15" hidden="false" customHeight="true" outlineLevel="0" collapsed="false">
      <c r="A6" s="5" t="s">
        <v>63</v>
      </c>
      <c r="B6" s="13" t="n">
        <v>0.0572</v>
      </c>
      <c r="C6" s="12" t="s">
        <v>64</v>
      </c>
    </row>
    <row r="7" customFormat="false" ht="15" hidden="false" customHeight="true" outlineLevel="0" collapsed="false">
      <c r="A7" s="5" t="s">
        <v>65</v>
      </c>
      <c r="B7" s="14" t="n">
        <v>0.08</v>
      </c>
      <c r="C7" s="12" t="s">
        <v>66</v>
      </c>
    </row>
    <row r="8" customFormat="false" ht="15" hidden="false" customHeight="true" outlineLevel="0" collapsed="false">
      <c r="A8" s="5" t="s">
        <v>67</v>
      </c>
      <c r="B8" s="14" t="n">
        <v>0.812</v>
      </c>
      <c r="C8" s="12" t="s">
        <v>68</v>
      </c>
    </row>
    <row r="9" customFormat="false" ht="15" hidden="false" customHeight="true" outlineLevel="0" collapsed="false">
      <c r="A9" s="5" t="s">
        <v>69</v>
      </c>
      <c r="B9" s="13" t="n">
        <v>0.9</v>
      </c>
      <c r="C9" s="12" t="s">
        <v>70</v>
      </c>
    </row>
    <row r="10" customFormat="false" ht="15" hidden="false" customHeight="true" outlineLevel="0" collapsed="false">
      <c r="A10" s="5" t="s">
        <v>71</v>
      </c>
      <c r="B10" s="13" t="n">
        <v>0.083</v>
      </c>
      <c r="C10" s="12" t="s">
        <v>72</v>
      </c>
    </row>
    <row r="11" customFormat="false" ht="15" hidden="false" customHeight="true" outlineLevel="0" collapsed="false">
      <c r="A11" s="5" t="s">
        <v>73</v>
      </c>
      <c r="B11" s="14" t="n">
        <v>0.04</v>
      </c>
      <c r="C11" s="12" t="s">
        <v>74</v>
      </c>
    </row>
    <row r="12" customFormat="false" ht="15" hidden="false" customHeight="true" outlineLevel="0" collapsed="false">
      <c r="A12" s="5" t="s">
        <v>75</v>
      </c>
      <c r="B12" s="13" t="n">
        <v>0.04</v>
      </c>
      <c r="C12" s="12" t="s">
        <v>76</v>
      </c>
    </row>
    <row r="13" customFormat="false" ht="15" hidden="false" customHeight="true" outlineLevel="0" collapsed="false">
      <c r="A13" s="5" t="s">
        <v>77</v>
      </c>
      <c r="B13" s="13" t="n">
        <v>0.19</v>
      </c>
      <c r="C13" s="12" t="s">
        <v>78</v>
      </c>
    </row>
    <row r="14" customFormat="false" ht="15" hidden="false" customHeight="true" outlineLevel="0" collapsed="false">
      <c r="A14" s="5" t="s">
        <v>79</v>
      </c>
      <c r="B14" s="13" t="n">
        <v>0.0073</v>
      </c>
      <c r="C14" s="12" t="s">
        <v>80</v>
      </c>
    </row>
    <row r="15" customFormat="false" ht="15" hidden="false" customHeight="true" outlineLevel="0" collapsed="false">
      <c r="A15" s="5" t="s">
        <v>81</v>
      </c>
      <c r="B15" s="13" t="n">
        <v>0.034</v>
      </c>
      <c r="C15" s="12" t="s">
        <v>82</v>
      </c>
    </row>
    <row r="16" customFormat="false" ht="15" hidden="false" customHeight="true" outlineLevel="0" collapsed="false">
      <c r="A16" s="5" t="s">
        <v>83</v>
      </c>
      <c r="B16" s="13" t="n">
        <v>0</v>
      </c>
      <c r="C16" s="12" t="s">
        <v>84</v>
      </c>
    </row>
    <row r="17" customFormat="false" ht="15" hidden="false" customHeight="true" outlineLevel="0" collapsed="false">
      <c r="A17" s="5" t="s">
        <v>85</v>
      </c>
      <c r="B17" s="13" t="n">
        <v>0.8</v>
      </c>
      <c r="C17" s="12" t="s">
        <v>86</v>
      </c>
    </row>
    <row r="19" customFormat="false" ht="15.75" hidden="false" customHeight="true" outlineLevel="0" collapsed="false">
      <c r="A19" s="6" t="s">
        <v>87</v>
      </c>
      <c r="B19" s="7"/>
      <c r="C19" s="7"/>
    </row>
    <row r="20" customFormat="false" ht="15" hidden="false" customHeight="true" outlineLevel="0" collapsed="false">
      <c r="A20" s="5" t="s">
        <v>88</v>
      </c>
      <c r="B20" s="13" t="n">
        <v>0.125</v>
      </c>
      <c r="C20" s="12" t="s">
        <v>89</v>
      </c>
    </row>
    <row r="21" customFormat="false" ht="15" hidden="false" customHeight="true" outlineLevel="0" collapsed="false">
      <c r="A21" s="5" t="s">
        <v>90</v>
      </c>
      <c r="B21" s="13" t="n">
        <v>0.035</v>
      </c>
      <c r="C21" s="12" t="s">
        <v>91</v>
      </c>
    </row>
    <row r="22" customFormat="false" ht="15" hidden="false" customHeight="true" outlineLevel="0" collapsed="false">
      <c r="A22" s="5" t="s">
        <v>92</v>
      </c>
      <c r="B22" s="15" t="n">
        <v>0.7</v>
      </c>
      <c r="C22" s="12" t="s">
        <v>93</v>
      </c>
    </row>
    <row r="23" customFormat="false" ht="15" hidden="false" customHeight="true" outlineLevel="0" collapsed="false">
      <c r="A23" s="5" t="s">
        <v>94</v>
      </c>
      <c r="B23" s="16" t="n">
        <f aca="false">B20+B22*B21</f>
        <v>0.1495</v>
      </c>
      <c r="C23" s="17" t="n">
        <f aca="false">B23</f>
        <v>0.1495</v>
      </c>
    </row>
    <row r="24" customFormat="false" ht="15" hidden="false" customHeight="true" outlineLevel="0" collapsed="false">
      <c r="A24" s="5" t="s">
        <v>95</v>
      </c>
      <c r="B24" s="13" t="n">
        <v>0.134</v>
      </c>
      <c r="C24" s="12" t="s">
        <v>96</v>
      </c>
    </row>
    <row r="25" customFormat="false" ht="15" hidden="false" customHeight="true" outlineLevel="0" collapsed="false">
      <c r="A25" s="5" t="s">
        <v>97</v>
      </c>
      <c r="B25" s="13" t="n">
        <v>0.112</v>
      </c>
      <c r="C25" s="12" t="s">
        <v>98</v>
      </c>
    </row>
    <row r="26" customFormat="false" ht="15" hidden="false" customHeight="true" outlineLevel="0" collapsed="false">
      <c r="A26" s="5" t="s">
        <v>99</v>
      </c>
      <c r="B26" s="16" t="n">
        <f aca="false">B23*(1-B25)+B24*(1-B16)*B25</f>
        <v>0.147764</v>
      </c>
      <c r="C26" s="12" t="s">
        <v>100</v>
      </c>
    </row>
    <row r="27" customFormat="false" ht="15" hidden="false" customHeight="true" outlineLevel="0" collapsed="false">
      <c r="A27" s="5" t="s">
        <v>101</v>
      </c>
      <c r="B27" s="14" t="n">
        <v>0.04</v>
      </c>
      <c r="C27" s="12" t="s">
        <v>102</v>
      </c>
    </row>
    <row r="29" customFormat="false" ht="15.75" hidden="false" customHeight="true" outlineLevel="0" collapsed="false">
      <c r="A29" s="6" t="s">
        <v>103</v>
      </c>
      <c r="B29" s="7"/>
      <c r="C29" s="7"/>
    </row>
    <row r="30" customFormat="false" ht="15" hidden="false" customHeight="true" outlineLevel="0" collapsed="false">
      <c r="A30" s="5" t="s">
        <v>104</v>
      </c>
      <c r="B30" s="11" t="n">
        <v>180541</v>
      </c>
      <c r="C30" s="12" t="s">
        <v>105</v>
      </c>
    </row>
    <row r="31" customFormat="false" ht="15" hidden="false" customHeight="true" outlineLevel="0" collapsed="false">
      <c r="A31" s="5" t="s">
        <v>106</v>
      </c>
      <c r="B31" s="18" t="n">
        <v>6</v>
      </c>
      <c r="C31" s="12" t="s">
        <v>5</v>
      </c>
    </row>
    <row r="32" customFormat="false" ht="15" hidden="false" customHeight="true" outlineLevel="0" collapsed="false">
      <c r="A32" s="5" t="s">
        <v>107</v>
      </c>
      <c r="B32" s="19" t="n">
        <f aca="false">B30*B31</f>
        <v>1083246</v>
      </c>
      <c r="C32" s="20" t="n">
        <f aca="false">B32</f>
        <v>1083246</v>
      </c>
    </row>
    <row r="33" customFormat="false" ht="15" hidden="false" customHeight="true" outlineLevel="0" collapsed="false">
      <c r="A33" s="5" t="s">
        <v>108</v>
      </c>
      <c r="B33" s="11" t="n">
        <v>650000</v>
      </c>
      <c r="C33" s="12" t="s">
        <v>109</v>
      </c>
    </row>
    <row r="34" customFormat="false" ht="15" hidden="false" customHeight="true" outlineLevel="0" collapsed="false">
      <c r="A34" s="5" t="s">
        <v>110</v>
      </c>
      <c r="B34" s="11" t="n">
        <v>142000</v>
      </c>
      <c r="C34" s="12" t="s">
        <v>109</v>
      </c>
    </row>
    <row r="35" customFormat="false" ht="15" hidden="false" customHeight="true" outlineLevel="0" collapsed="false">
      <c r="A35" s="5" t="s">
        <v>111</v>
      </c>
      <c r="B35" s="19" t="n">
        <f aca="false">B32+B33-B34</f>
        <v>1591246</v>
      </c>
      <c r="C35" s="20" t="n">
        <f aca="false">B35</f>
        <v>1591246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75"/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5"/>
  </cols>
  <sheetData>
    <row r="1" customFormat="false" ht="24" hidden="false" customHeight="true" outlineLevel="0" collapsed="false">
      <c r="A1" s="2" t="s">
        <v>112</v>
      </c>
      <c r="B1" s="2"/>
      <c r="C1" s="2"/>
      <c r="D1" s="2"/>
      <c r="E1" s="2"/>
    </row>
    <row r="2" customFormat="false" ht="15" hidden="false" customHeight="true" outlineLevel="0" collapsed="false">
      <c r="A2" s="10" t="s">
        <v>113</v>
      </c>
    </row>
    <row r="4" customFormat="false" ht="18" hidden="false" customHeight="true" outlineLevel="0" collapsed="false">
      <c r="A4" s="21" t="s">
        <v>114</v>
      </c>
      <c r="B4" s="21" t="s">
        <v>115</v>
      </c>
      <c r="C4" s="21" t="s">
        <v>116</v>
      </c>
      <c r="D4" s="21" t="s">
        <v>117</v>
      </c>
      <c r="E4" s="21" t="s">
        <v>118</v>
      </c>
    </row>
    <row r="5" customFormat="false" ht="15.75" hidden="false" customHeight="true" outlineLevel="0" collapsed="false">
      <c r="A5" s="6" t="s">
        <v>119</v>
      </c>
      <c r="B5" s="7"/>
      <c r="C5" s="7"/>
      <c r="D5" s="7"/>
      <c r="E5" s="7"/>
    </row>
    <row r="6" customFormat="false" ht="15" hidden="false" customHeight="true" outlineLevel="0" collapsed="false">
      <c r="A6" s="22" t="s">
        <v>120</v>
      </c>
      <c r="B6" s="23" t="n">
        <v>454200</v>
      </c>
      <c r="C6" s="23" t="n">
        <v>469374</v>
      </c>
      <c r="D6" s="17" t="n">
        <f aca="false">(C6-B6)/ABS(B6)</f>
        <v>0.0334081902245707</v>
      </c>
      <c r="E6" s="17"/>
    </row>
    <row r="7" customFormat="false" ht="15" hidden="false" customHeight="true" outlineLevel="0" collapsed="false">
      <c r="A7" s="22" t="s">
        <v>121</v>
      </c>
      <c r="B7" s="23" t="n">
        <v>8100</v>
      </c>
      <c r="C7" s="23" t="n">
        <v>8500</v>
      </c>
      <c r="D7" s="17" t="n">
        <f aca="false">(C7-B7)/ABS(B7)</f>
        <v>0.0493827160493827</v>
      </c>
      <c r="E7" s="17"/>
    </row>
    <row r="8" customFormat="false" ht="15" hidden="false" customHeight="true" outlineLevel="0" collapsed="false">
      <c r="A8" s="9" t="s">
        <v>122</v>
      </c>
      <c r="B8" s="24" t="n">
        <v>462300</v>
      </c>
      <c r="C8" s="24" t="n">
        <v>477874</v>
      </c>
      <c r="D8" s="25" t="n">
        <f aca="false">(C8-B8)/ABS(B8)</f>
        <v>0.0336880813324681</v>
      </c>
      <c r="E8" s="25" t="n">
        <f aca="false">C8/C8</f>
        <v>1</v>
      </c>
    </row>
    <row r="9" customFormat="false" ht="15" hidden="false" customHeight="true" outlineLevel="0" collapsed="false">
      <c r="A9" s="22" t="s">
        <v>123</v>
      </c>
      <c r="B9" s="23" t="n">
        <v>-40200</v>
      </c>
      <c r="C9" s="23" t="n">
        <v>41200</v>
      </c>
      <c r="D9" s="17" t="n">
        <f aca="false">(C9-B9)/ABS(B9)</f>
        <v>2.02487562189055</v>
      </c>
      <c r="E9" s="17" t="n">
        <f aca="false">C9/C8</f>
        <v>0.086215194800303</v>
      </c>
    </row>
    <row r="10" customFormat="false" ht="15" hidden="false" customHeight="true" outlineLevel="0" collapsed="false">
      <c r="A10" s="22" t="s">
        <v>124</v>
      </c>
      <c r="B10" s="23" t="n">
        <v>-85600</v>
      </c>
      <c r="C10" s="23" t="n">
        <v>89400</v>
      </c>
      <c r="D10" s="17" t="n">
        <f aca="false">(C10-B10)/ABS(B10)</f>
        <v>2.04439252336449</v>
      </c>
      <c r="E10" s="17" t="n">
        <f aca="false">C10/C8</f>
        <v>0.187078602309395</v>
      </c>
    </row>
    <row r="11" customFormat="false" ht="15" hidden="false" customHeight="true" outlineLevel="0" collapsed="false">
      <c r="A11" s="22" t="s">
        <v>125</v>
      </c>
      <c r="B11" s="23" t="n">
        <v>-21100</v>
      </c>
      <c r="C11" s="23" t="n">
        <v>22300</v>
      </c>
      <c r="D11" s="17" t="n">
        <f aca="false">(C11-B11)/ABS(B11)</f>
        <v>2.05687203791469</v>
      </c>
      <c r="E11" s="17" t="n">
        <f aca="false">C11/C8</f>
        <v>0.0466650204865718</v>
      </c>
    </row>
    <row r="12" customFormat="false" ht="15" hidden="false" customHeight="true" outlineLevel="0" collapsed="false">
      <c r="A12" s="9" t="s">
        <v>126</v>
      </c>
      <c r="B12" s="24" t="n">
        <v>-146900</v>
      </c>
      <c r="C12" s="24" t="n">
        <v>152900</v>
      </c>
      <c r="D12" s="25" t="n">
        <f aca="false">(C12-B12)/ABS(B12)</f>
        <v>2.04084411164057</v>
      </c>
      <c r="E12" s="25" t="n">
        <f aca="false">C12/C8</f>
        <v>0.31995881759627</v>
      </c>
    </row>
    <row r="13" customFormat="false" ht="15" hidden="false" customHeight="true" outlineLevel="0" collapsed="false">
      <c r="A13" s="9" t="s">
        <v>127</v>
      </c>
      <c r="B13" s="24" t="n">
        <v>308900</v>
      </c>
      <c r="C13" s="24" t="n">
        <v>324974</v>
      </c>
      <c r="D13" s="25" t="n">
        <f aca="false">(C13-B13)/ABS(B13)</f>
        <v>0.0520362576885724</v>
      </c>
      <c r="E13" s="25" t="n">
        <f aca="false">C13/C8</f>
        <v>0.68004118240373</v>
      </c>
    </row>
    <row r="14" customFormat="false" ht="15" hidden="false" customHeight="true" outlineLevel="0" collapsed="false">
      <c r="A14" s="22" t="s">
        <v>128</v>
      </c>
      <c r="B14" s="23" t="n">
        <v>-17200</v>
      </c>
      <c r="C14" s="23" t="n">
        <v>18600</v>
      </c>
      <c r="D14" s="17" t="n">
        <f aca="false">(C14-B14)/ABS(B14)</f>
        <v>2.08139534883721</v>
      </c>
      <c r="E14" s="17" t="n">
        <f aca="false">C14/C8</f>
        <v>0.0389223937690688</v>
      </c>
    </row>
    <row r="15" customFormat="false" ht="15" hidden="false" customHeight="true" outlineLevel="0" collapsed="false">
      <c r="A15" s="9" t="s">
        <v>129</v>
      </c>
      <c r="B15" s="24" t="n">
        <v>291700</v>
      </c>
      <c r="C15" s="24" t="n">
        <v>306374</v>
      </c>
      <c r="D15" s="25" t="n">
        <f aca="false">(C15-B15)/ABS(B15)</f>
        <v>0.0503051079876586</v>
      </c>
      <c r="E15" s="25" t="n">
        <f aca="false">C15/C8</f>
        <v>0.641118788634661</v>
      </c>
    </row>
    <row r="16" customFormat="false" ht="15" hidden="false" customHeight="true" outlineLevel="0" collapsed="false">
      <c r="A16" s="22" t="s">
        <v>130</v>
      </c>
      <c r="B16" s="23" t="n">
        <v>0</v>
      </c>
      <c r="C16" s="23" t="n">
        <v>0</v>
      </c>
      <c r="E16" s="17" t="n">
        <f aca="false">C16/C8</f>
        <v>0</v>
      </c>
    </row>
    <row r="17" customFormat="false" ht="15" hidden="false" customHeight="true" outlineLevel="0" collapsed="false">
      <c r="A17" s="9" t="s">
        <v>131</v>
      </c>
      <c r="B17" s="24" t="n">
        <v>291700</v>
      </c>
      <c r="C17" s="24" t="n">
        <v>306374</v>
      </c>
      <c r="D17" s="25" t="n">
        <f aca="false">(C17-B17)/ABS(B17)</f>
        <v>0.0503051079876586</v>
      </c>
      <c r="E17" s="25" t="n">
        <f aca="false">C17/C8</f>
        <v>0.641118788634661</v>
      </c>
    </row>
    <row r="18" customFormat="false" ht="15" hidden="false" customHeight="true" outlineLevel="0" collapsed="false">
      <c r="A18" s="22" t="s">
        <v>132</v>
      </c>
      <c r="B18" s="23" t="n">
        <v>-223000</v>
      </c>
      <c r="C18" s="23" t="n">
        <v>-225676</v>
      </c>
      <c r="D18" s="17" t="n">
        <f aca="false">(C18-B18)/ABS(B18)</f>
        <v>-0.012</v>
      </c>
      <c r="E18" s="17" t="n">
        <f aca="false">C18/C8</f>
        <v>-0.472250007324106</v>
      </c>
    </row>
    <row r="19" customFormat="false" ht="15" hidden="false" customHeight="true" outlineLevel="0" collapsed="false">
      <c r="A19" s="22" t="s">
        <v>133</v>
      </c>
      <c r="B19" s="26" t="n">
        <v>1.2</v>
      </c>
      <c r="C19" s="26" t="n">
        <v>1.25</v>
      </c>
      <c r="D19" s="17" t="n">
        <f aca="false">(C19-B19)/ABS(B19)</f>
        <v>0.0416666666666667</v>
      </c>
      <c r="E19" s="17" t="n">
        <f aca="false">C19/C8</f>
        <v>2.61575226942667E-006</v>
      </c>
    </row>
    <row r="21" customFormat="false" ht="15.75" hidden="false" customHeight="true" outlineLevel="0" collapsed="false">
      <c r="A21" s="6" t="s">
        <v>134</v>
      </c>
      <c r="B21" s="7"/>
      <c r="C21" s="7"/>
      <c r="D21" s="7"/>
      <c r="E21" s="7"/>
    </row>
    <row r="22" customFormat="false" ht="15" hidden="false" customHeight="true" outlineLevel="0" collapsed="false">
      <c r="A22" s="9" t="s">
        <v>135</v>
      </c>
      <c r="B22" s="24" t="n">
        <v>5720000</v>
      </c>
      <c r="C22" s="24" t="n">
        <v>5680000</v>
      </c>
      <c r="D22" s="25" t="n">
        <f aca="false">(C22-B22)/ABS(B22)</f>
        <v>-0.00699300699300699</v>
      </c>
      <c r="E22" s="25" t="n">
        <f aca="false">C22/C8</f>
        <v>11.8859783122748</v>
      </c>
    </row>
    <row r="23" customFormat="false" ht="15" hidden="false" customHeight="true" outlineLevel="0" collapsed="false">
      <c r="A23" s="22" t="s">
        <v>136</v>
      </c>
      <c r="B23" s="23" t="n">
        <v>138000</v>
      </c>
      <c r="C23" s="23" t="n">
        <v>142000</v>
      </c>
      <c r="D23" s="17" t="n">
        <f aca="false">(C23-B23)/ABS(B23)</f>
        <v>0.0289855072463768</v>
      </c>
      <c r="E23" s="17" t="n">
        <f aca="false">C23/C8</f>
        <v>0.29714945780687</v>
      </c>
    </row>
    <row r="24" customFormat="false" ht="15" hidden="false" customHeight="true" outlineLevel="0" collapsed="false">
      <c r="A24" s="22" t="s">
        <v>137</v>
      </c>
      <c r="B24" s="23" t="n">
        <v>92000</v>
      </c>
      <c r="C24" s="23" t="n">
        <v>98400</v>
      </c>
      <c r="D24" s="17" t="n">
        <f aca="false">(C24-B24)/ABS(B24)</f>
        <v>0.0695652173913044</v>
      </c>
      <c r="E24" s="17" t="n">
        <f aca="false">C24/C8</f>
        <v>0.205912018649267</v>
      </c>
    </row>
    <row r="25" customFormat="false" ht="15" hidden="false" customHeight="true" outlineLevel="0" collapsed="false">
      <c r="A25" s="9" t="s">
        <v>138</v>
      </c>
      <c r="B25" s="24" t="n">
        <v>5950000</v>
      </c>
      <c r="C25" s="24" t="n">
        <v>5920400</v>
      </c>
      <c r="D25" s="25" t="n">
        <f aca="false">(C25-B25)/ABS(B25)</f>
        <v>-0.00497478991596639</v>
      </c>
      <c r="E25" s="25" t="n">
        <f aca="false">C25/C8</f>
        <v>12.3890397887309</v>
      </c>
    </row>
    <row r="26" customFormat="false" ht="15" hidden="false" customHeight="true" outlineLevel="0" collapsed="false">
      <c r="A26" s="22" t="s">
        <v>139</v>
      </c>
      <c r="B26" s="23" t="n">
        <v>680000</v>
      </c>
      <c r="C26" s="23" t="n">
        <v>650000</v>
      </c>
      <c r="D26" s="17" t="n">
        <f aca="false">(C26-B26)/ABS(B26)</f>
        <v>-0.0441176470588235</v>
      </c>
      <c r="E26" s="17" t="n">
        <f aca="false">C26/C8</f>
        <v>1.36019118010187</v>
      </c>
    </row>
    <row r="27" customFormat="false" ht="15" hidden="false" customHeight="true" outlineLevel="0" collapsed="false">
      <c r="A27" s="22" t="s">
        <v>140</v>
      </c>
      <c r="B27" s="23" t="n">
        <v>92000</v>
      </c>
      <c r="C27" s="23" t="n">
        <v>89500</v>
      </c>
      <c r="D27" s="17" t="n">
        <f aca="false">(C27-B27)/ABS(B27)</f>
        <v>-0.0271739130434783</v>
      </c>
      <c r="E27" s="17" t="n">
        <f aca="false">C27/C8</f>
        <v>0.18728786249095</v>
      </c>
    </row>
    <row r="28" customFormat="false" ht="15" hidden="false" customHeight="true" outlineLevel="0" collapsed="false">
      <c r="A28" s="9" t="s">
        <v>141</v>
      </c>
      <c r="B28" s="24" t="n">
        <v>772000</v>
      </c>
      <c r="C28" s="24" t="n">
        <v>739500</v>
      </c>
      <c r="D28" s="25" t="n">
        <f aca="false">(C28-B28)/ABS(B28)</f>
        <v>-0.0420984455958549</v>
      </c>
      <c r="E28" s="25" t="n">
        <f aca="false">C28/C8</f>
        <v>1.54747904259282</v>
      </c>
    </row>
    <row r="29" customFormat="false" ht="15" hidden="false" customHeight="true" outlineLevel="0" collapsed="false">
      <c r="A29" s="9" t="s">
        <v>142</v>
      </c>
      <c r="B29" s="24" t="n">
        <v>5220000</v>
      </c>
      <c r="C29" s="24" t="n">
        <v>5180900</v>
      </c>
      <c r="D29" s="25" t="n">
        <f aca="false">(C29-B29)/ABS(B29)</f>
        <v>-0.0074904214559387</v>
      </c>
      <c r="E29" s="25" t="n">
        <f aca="false">C29/C8</f>
        <v>10.8415607461381</v>
      </c>
    </row>
    <row r="30" customFormat="false" ht="15" hidden="false" customHeight="true" outlineLevel="0" collapsed="false">
      <c r="A30" s="22" t="s">
        <v>20</v>
      </c>
      <c r="B30" s="26" t="n">
        <v>28.9131000714519</v>
      </c>
      <c r="C30" s="26" t="n">
        <v>28.69</v>
      </c>
      <c r="D30" s="17" t="n">
        <f aca="false">(C30-B30)/ABS(B30)</f>
        <v>-0.00771622796934815</v>
      </c>
      <c r="E30" s="17" t="n">
        <f aca="false">C30/C8</f>
        <v>6.00367460878809E-005</v>
      </c>
    </row>
    <row r="32" customFormat="false" ht="15.75" hidden="false" customHeight="true" outlineLevel="0" collapsed="false">
      <c r="A32" s="6" t="s">
        <v>143</v>
      </c>
      <c r="B32" s="7"/>
      <c r="C32" s="7"/>
      <c r="D32" s="7"/>
      <c r="E32" s="7"/>
    </row>
    <row r="33" customFormat="false" ht="15" hidden="false" customHeight="true" outlineLevel="0" collapsed="false">
      <c r="A33" s="22" t="s">
        <v>144</v>
      </c>
      <c r="B33" s="27" t="n">
        <v>0.797</v>
      </c>
      <c r="C33" s="27" t="n">
        <v>0.812</v>
      </c>
    </row>
    <row r="34" customFormat="false" ht="15" hidden="false" customHeight="true" outlineLevel="0" collapsed="false">
      <c r="A34" s="22" t="s">
        <v>145</v>
      </c>
      <c r="B34" s="27" t="n">
        <v>0.054</v>
      </c>
      <c r="C34" s="27" t="n">
        <v>0.0572</v>
      </c>
    </row>
    <row r="35" customFormat="false" ht="15" hidden="false" customHeight="true" outlineLevel="0" collapsed="false">
      <c r="A35" s="22" t="s">
        <v>146</v>
      </c>
      <c r="B35" s="27" t="n">
        <v>0.051</v>
      </c>
      <c r="C35" s="27" t="n">
        <v>0.0605</v>
      </c>
    </row>
    <row r="36" customFormat="false" ht="15" hidden="false" customHeight="true" outlineLevel="0" collapsed="false">
      <c r="A36" s="22" t="s">
        <v>147</v>
      </c>
      <c r="B36" s="27" t="n">
        <v>0.7645</v>
      </c>
      <c r="C36" s="27" t="n">
        <v>0.7366</v>
      </c>
    </row>
    <row r="37" customFormat="false" ht="15" hidden="false" customHeight="true" outlineLevel="0" collapsed="false">
      <c r="A37" s="22" t="s">
        <v>148</v>
      </c>
      <c r="B37" s="27" t="n">
        <v>0.1189</v>
      </c>
      <c r="C37" s="27" t="n">
        <v>0.1144</v>
      </c>
    </row>
    <row r="38" customFormat="false" ht="15" hidden="false" customHeight="true" outlineLevel="0" collapsed="false">
      <c r="A38" s="22" t="s">
        <v>149</v>
      </c>
      <c r="B38" s="27" t="n">
        <v>-995.1911</v>
      </c>
      <c r="C38" s="27" t="n">
        <v>-0.7909</v>
      </c>
    </row>
    <row r="39" customFormat="false" ht="15" hidden="false" customHeight="true" outlineLevel="0" collapsed="false">
      <c r="A39" s="22" t="s">
        <v>150</v>
      </c>
      <c r="B39" s="27" t="n">
        <v>0.2</v>
      </c>
      <c r="C39" s="27" t="n">
        <v>0.2083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30"/>
  </cols>
  <sheetData>
    <row r="1" customFormat="false" ht="24" hidden="false" customHeight="true" outlineLevel="0" collapsed="false">
      <c r="A1" s="2" t="s">
        <v>151</v>
      </c>
      <c r="B1" s="2"/>
      <c r="C1" s="2"/>
    </row>
    <row r="2" customFormat="false" ht="15" hidden="false" customHeight="true" outlineLevel="0" collapsed="false">
      <c r="A2" s="10" t="s">
        <v>152</v>
      </c>
    </row>
    <row r="4" customFormat="false" ht="15.75" hidden="false" customHeight="true" outlineLevel="0" collapsed="false">
      <c r="A4" s="6" t="s">
        <v>153</v>
      </c>
      <c r="B4" s="7"/>
      <c r="C4" s="7"/>
    </row>
    <row r="5" customFormat="false" ht="15.75" hidden="false" customHeight="true" outlineLevel="0" collapsed="false">
      <c r="A5" s="21" t="s">
        <v>154</v>
      </c>
      <c r="B5" s="21" t="s">
        <v>155</v>
      </c>
      <c r="C5" s="21" t="s">
        <v>156</v>
      </c>
    </row>
    <row r="6" customFormat="false" ht="15.75" hidden="false" customHeight="true" outlineLevel="0" collapsed="false">
      <c r="A6" s="5" t="s">
        <v>157</v>
      </c>
      <c r="B6" s="11" t="n">
        <v>2830000</v>
      </c>
      <c r="C6" s="12" t="s">
        <v>158</v>
      </c>
    </row>
    <row r="7" customFormat="false" ht="15.75" hidden="false" customHeight="true" outlineLevel="0" collapsed="false">
      <c r="A7" s="5" t="s">
        <v>159</v>
      </c>
      <c r="B7" s="11" t="n">
        <v>1680000</v>
      </c>
      <c r="C7" s="12" t="s">
        <v>160</v>
      </c>
    </row>
    <row r="8" customFormat="false" ht="15.75" hidden="false" customHeight="true" outlineLevel="0" collapsed="false">
      <c r="A8" s="5" t="s">
        <v>161</v>
      </c>
      <c r="B8" s="11" t="n">
        <v>820000</v>
      </c>
      <c r="C8" s="12" t="s">
        <v>162</v>
      </c>
    </row>
    <row r="9" customFormat="false" ht="15.75" hidden="false" customHeight="true" outlineLevel="0" collapsed="false">
      <c r="A9" s="5" t="s">
        <v>163</v>
      </c>
      <c r="B9" s="11" t="n">
        <v>350000</v>
      </c>
      <c r="C9" s="12" t="s">
        <v>164</v>
      </c>
    </row>
    <row r="10" customFormat="false" ht="15.75" hidden="false" customHeight="true" outlineLevel="0" collapsed="false">
      <c r="A10" s="4" t="s">
        <v>165</v>
      </c>
      <c r="B10" s="19" t="n">
        <f aca="false">SUM(B6:B9)</f>
        <v>5680000</v>
      </c>
      <c r="C10" s="12" t="s">
        <v>166</v>
      </c>
    </row>
    <row r="11" customFormat="false" ht="15.75" hidden="false" customHeight="true" outlineLevel="0" collapsed="false">
      <c r="A11" s="5" t="s">
        <v>167</v>
      </c>
      <c r="B11" s="11" t="n">
        <v>142000</v>
      </c>
      <c r="C11" s="12" t="s">
        <v>168</v>
      </c>
    </row>
    <row r="12" customFormat="false" ht="15.75" hidden="false" customHeight="true" outlineLevel="0" collapsed="false">
      <c r="A12" s="5" t="s">
        <v>169</v>
      </c>
      <c r="B12" s="11" t="n">
        <v>98400</v>
      </c>
      <c r="C12" s="12" t="s">
        <v>170</v>
      </c>
    </row>
    <row r="13" customFormat="false" ht="15.75" hidden="false" customHeight="true" outlineLevel="0" collapsed="false">
      <c r="A13" s="4" t="s">
        <v>171</v>
      </c>
      <c r="B13" s="19" t="n">
        <f aca="false">B10+B11+B12</f>
        <v>5920400</v>
      </c>
      <c r="C13" s="12"/>
    </row>
    <row r="14" customFormat="false" ht="15.75" hidden="false" customHeight="true" outlineLevel="0" collapsed="false">
      <c r="A14" s="5" t="s">
        <v>172</v>
      </c>
      <c r="B14" s="11" t="n">
        <v>-650000</v>
      </c>
      <c r="C14" s="12" t="s">
        <v>173</v>
      </c>
    </row>
    <row r="15" customFormat="false" ht="15.75" hidden="false" customHeight="true" outlineLevel="0" collapsed="false">
      <c r="A15" s="5" t="s">
        <v>174</v>
      </c>
      <c r="B15" s="11" t="n">
        <v>-89500</v>
      </c>
      <c r="C15" s="12" t="s">
        <v>175</v>
      </c>
    </row>
    <row r="16" customFormat="false" ht="15.75" hidden="false" customHeight="true" outlineLevel="0" collapsed="false">
      <c r="A16" s="28" t="s">
        <v>176</v>
      </c>
      <c r="B16" s="29" t="n">
        <f aca="false">B13+B14+B15</f>
        <v>5180900</v>
      </c>
      <c r="C16" s="30" t="s">
        <v>177</v>
      </c>
    </row>
    <row r="17" customFormat="false" ht="15.75" hidden="false" customHeight="true" outlineLevel="0" collapsed="false">
      <c r="A17" s="5" t="s">
        <v>104</v>
      </c>
      <c r="B17" s="11" t="n">
        <v>180541</v>
      </c>
      <c r="C17" s="12"/>
    </row>
    <row r="18" customFormat="false" ht="15.75" hidden="false" customHeight="true" outlineLevel="0" collapsed="false">
      <c r="A18" s="9" t="s">
        <v>20</v>
      </c>
      <c r="B18" s="31" t="n">
        <f aca="false">B16/B17*1000</f>
        <v>28696.528766319</v>
      </c>
      <c r="C18" s="32" t="s">
        <v>178</v>
      </c>
    </row>
    <row r="19" customFormat="false" ht="15.75" hidden="false" customHeight="true" outlineLevel="0" collapsed="false">
      <c r="A19" s="5" t="s">
        <v>106</v>
      </c>
      <c r="B19" s="18" t="n">
        <v>6</v>
      </c>
      <c r="C19" s="12" t="s">
        <v>5</v>
      </c>
    </row>
    <row r="20" customFormat="false" ht="15.75" hidden="false" customHeight="true" outlineLevel="0" collapsed="false">
      <c r="A20" s="4" t="s">
        <v>179</v>
      </c>
      <c r="B20" s="16" t="n">
        <f aca="false">(B19-B18)/B18</f>
        <v>-0.999790915478006</v>
      </c>
      <c r="C20" s="12" t="s">
        <v>180</v>
      </c>
    </row>
    <row r="22" customFormat="false" ht="15.75" hidden="false" customHeight="true" outlineLevel="0" collapsed="false">
      <c r="A22" s="6" t="s">
        <v>181</v>
      </c>
      <c r="B22" s="7"/>
      <c r="C22" s="7"/>
    </row>
    <row r="23" customFormat="false" ht="15" hidden="false" customHeight="true" outlineLevel="0" collapsed="false">
      <c r="A23" s="33" t="s">
        <v>182</v>
      </c>
      <c r="B23" s="33"/>
      <c r="C23" s="33"/>
    </row>
    <row r="24" customFormat="false" ht="15.75" hidden="false" customHeight="true" outlineLevel="0" collapsed="false">
      <c r="A24" s="21" t="s">
        <v>183</v>
      </c>
      <c r="B24" s="21" t="s">
        <v>184</v>
      </c>
      <c r="C24" s="21" t="s">
        <v>185</v>
      </c>
    </row>
    <row r="25" customFormat="false" ht="15" hidden="false" customHeight="true" outlineLevel="0" collapsed="false">
      <c r="A25" s="5" t="s">
        <v>186</v>
      </c>
      <c r="B25" s="11" t="n">
        <v>5908618</v>
      </c>
      <c r="C25" s="34" t="n">
        <v>29962.82</v>
      </c>
    </row>
    <row r="26" customFormat="false" ht="15" hidden="false" customHeight="true" outlineLevel="0" collapsed="false">
      <c r="A26" s="5" t="s">
        <v>187</v>
      </c>
      <c r="B26" s="11" t="n">
        <v>5416233</v>
      </c>
      <c r="C26" s="34" t="n">
        <v>27235.55</v>
      </c>
    </row>
    <row r="27" customFormat="false" ht="15" hidden="false" customHeight="true" outlineLevel="0" collapsed="false">
      <c r="A27" s="5" t="s">
        <v>188</v>
      </c>
      <c r="B27" s="11" t="n">
        <v>4999600</v>
      </c>
      <c r="C27" s="34" t="n">
        <v>24927.86</v>
      </c>
    </row>
    <row r="28" customFormat="false" ht="15" hidden="false" customHeight="true" outlineLevel="0" collapsed="false">
      <c r="A28" s="5" t="s">
        <v>189</v>
      </c>
      <c r="B28" s="11" t="n">
        <v>4642486</v>
      </c>
      <c r="C28" s="34" t="n">
        <v>22949.83</v>
      </c>
    </row>
    <row r="29" customFormat="false" ht="15" hidden="false" customHeight="true" outlineLevel="0" collapsed="false">
      <c r="A29" s="5" t="s">
        <v>190</v>
      </c>
      <c r="B29" s="11" t="n">
        <v>4332987</v>
      </c>
      <c r="C29" s="34" t="n">
        <v>21235.55</v>
      </c>
    </row>
    <row r="30" customFormat="false" ht="15" hidden="false" customHeight="true" outlineLevel="0" collapsed="false">
      <c r="A30" s="5" t="s">
        <v>191</v>
      </c>
      <c r="B30" s="11" t="n">
        <v>4062175</v>
      </c>
      <c r="C30" s="34" t="n">
        <v>19735.54</v>
      </c>
    </row>
    <row r="31" customFormat="false" ht="15" hidden="false" customHeight="true" outlineLevel="0" collapsed="false">
      <c r="A31" s="5" t="s">
        <v>192</v>
      </c>
      <c r="B31" s="11" t="n">
        <v>3823224</v>
      </c>
      <c r="C31" s="34" t="n">
        <v>18412.01</v>
      </c>
    </row>
    <row r="32" customFormat="false" ht="15" hidden="false" customHeight="true" outlineLevel="0" collapsed="false">
      <c r="A32" s="5" t="s">
        <v>193</v>
      </c>
      <c r="B32" s="11" t="n">
        <v>3610822</v>
      </c>
      <c r="C32" s="34" t="n">
        <v>17235.54</v>
      </c>
    </row>
  </sheetData>
  <mergeCells count="2">
    <mergeCell ref="A1:C1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4"/>
  </cols>
  <sheetData>
    <row r="1" customFormat="false" ht="24" hidden="false" customHeight="true" outlineLevel="0" collapsed="false">
      <c r="A1" s="2" t="s">
        <v>194</v>
      </c>
      <c r="B1" s="2"/>
      <c r="C1" s="2"/>
      <c r="D1" s="2"/>
    </row>
    <row r="2" customFormat="false" ht="15" hidden="false" customHeight="true" outlineLevel="0" collapsed="false">
      <c r="A2" s="10" t="s">
        <v>195</v>
      </c>
    </row>
    <row r="4" customFormat="false" ht="15.75" hidden="false" customHeight="true" outlineLevel="0" collapsed="false">
      <c r="A4" s="6" t="s">
        <v>196</v>
      </c>
      <c r="B4" s="7"/>
      <c r="C4" s="7"/>
      <c r="D4" s="7"/>
    </row>
    <row r="5" customFormat="false" ht="15.75" hidden="false" customHeight="true" outlineLevel="0" collapsed="false">
      <c r="A5" s="21" t="s">
        <v>197</v>
      </c>
      <c r="B5" s="21" t="s">
        <v>198</v>
      </c>
      <c r="C5" s="21" t="s">
        <v>199</v>
      </c>
      <c r="D5" s="21" t="s">
        <v>200</v>
      </c>
    </row>
    <row r="6" customFormat="false" ht="15" hidden="false" customHeight="true" outlineLevel="0" collapsed="false">
      <c r="A6" s="5" t="s">
        <v>201</v>
      </c>
      <c r="B6" s="18" t="n">
        <v>1.25</v>
      </c>
      <c r="C6" s="12" t="s">
        <v>202</v>
      </c>
    </row>
    <row r="7" customFormat="false" ht="15" hidden="false" customHeight="true" outlineLevel="0" collapsed="false">
      <c r="A7" s="5" t="s">
        <v>203</v>
      </c>
      <c r="B7" s="13" t="n">
        <v>0.04</v>
      </c>
      <c r="C7" s="12" t="s">
        <v>204</v>
      </c>
    </row>
    <row r="8" customFormat="false" ht="15" hidden="false" customHeight="true" outlineLevel="0" collapsed="false">
      <c r="A8" s="5" t="s">
        <v>205</v>
      </c>
      <c r="B8" s="13" t="n">
        <v>0.04</v>
      </c>
      <c r="C8" s="12"/>
    </row>
    <row r="9" customFormat="false" ht="15" hidden="false" customHeight="true" outlineLevel="0" collapsed="false">
      <c r="A9" s="5" t="s">
        <v>206</v>
      </c>
      <c r="B9" s="13" t="n">
        <v>0.04</v>
      </c>
      <c r="C9" s="12"/>
    </row>
    <row r="10" customFormat="false" ht="15" hidden="false" customHeight="true" outlineLevel="0" collapsed="false">
      <c r="A10" s="5" t="s">
        <v>207</v>
      </c>
      <c r="B10" s="13" t="n">
        <v>0.04</v>
      </c>
      <c r="C10" s="12"/>
    </row>
    <row r="11" customFormat="false" ht="15" hidden="false" customHeight="true" outlineLevel="0" collapsed="false">
      <c r="A11" s="5" t="s">
        <v>208</v>
      </c>
      <c r="B11" s="13" t="n">
        <v>0.04</v>
      </c>
      <c r="C11" s="12"/>
    </row>
    <row r="12" customFormat="false" ht="15" hidden="false" customHeight="true" outlineLevel="0" collapsed="false">
      <c r="A12" s="5" t="s">
        <v>209</v>
      </c>
      <c r="B12" s="14" t="n">
        <v>0.04</v>
      </c>
      <c r="C12" s="12" t="s">
        <v>210</v>
      </c>
    </row>
    <row r="13" customFormat="false" ht="15" hidden="false" customHeight="true" outlineLevel="0" collapsed="false">
      <c r="A13" s="5" t="s">
        <v>211</v>
      </c>
      <c r="B13" s="35" t="n">
        <f aca="false">Assumptions!B23</f>
        <v>0.1495</v>
      </c>
      <c r="C13" s="36" t="n">
        <f aca="false">B13</f>
        <v>0.1495</v>
      </c>
    </row>
    <row r="14" customFormat="false" ht="15" hidden="false" customHeight="true" outlineLevel="0" collapsed="false">
      <c r="A14" s="5" t="s">
        <v>99</v>
      </c>
      <c r="B14" s="35" t="n">
        <f aca="false">Assumptions!B26</f>
        <v>0.147764</v>
      </c>
      <c r="C14" s="12" t="s">
        <v>212</v>
      </c>
    </row>
    <row r="15" customFormat="false" ht="15" hidden="false" customHeight="true" outlineLevel="0" collapsed="false">
      <c r="A15" s="5" t="s">
        <v>213</v>
      </c>
      <c r="B15" s="14" t="n">
        <v>0.15</v>
      </c>
      <c r="C15" s="12" t="s">
        <v>214</v>
      </c>
    </row>
    <row r="17" customFormat="false" ht="15.75" hidden="false" customHeight="true" outlineLevel="0" collapsed="false">
      <c r="A17" s="6" t="s">
        <v>215</v>
      </c>
      <c r="B17" s="7"/>
      <c r="C17" s="7"/>
      <c r="D17" s="7"/>
    </row>
    <row r="18" customFormat="false" ht="15.75" hidden="false" customHeight="true" outlineLevel="0" collapsed="false">
      <c r="A18" s="21" t="s">
        <v>216</v>
      </c>
      <c r="B18" s="21" t="s">
        <v>217</v>
      </c>
      <c r="C18" s="21" t="s">
        <v>218</v>
      </c>
      <c r="D18" s="21" t="s">
        <v>219</v>
      </c>
    </row>
    <row r="19" customFormat="false" ht="15" hidden="false" customHeight="true" outlineLevel="0" collapsed="false">
      <c r="A19" s="22" t="s">
        <v>220</v>
      </c>
      <c r="B19" s="37" t="n">
        <f aca="false">B6*(1+B7)</f>
        <v>1.3</v>
      </c>
      <c r="C19" s="38" t="n">
        <f aca="false">1/(1+B15)^1</f>
        <v>0.869565217391304</v>
      </c>
      <c r="D19" s="39" t="n">
        <f aca="false">B19*C19</f>
        <v>1.1304347826087</v>
      </c>
    </row>
    <row r="20" customFormat="false" ht="15" hidden="false" customHeight="true" outlineLevel="0" collapsed="false">
      <c r="A20" s="22" t="s">
        <v>221</v>
      </c>
      <c r="B20" s="37" t="n">
        <f aca="false">B19*(1+B8)</f>
        <v>1.352</v>
      </c>
      <c r="C20" s="38" t="n">
        <f aca="false">1/(1+B15)^2</f>
        <v>0.756143667296787</v>
      </c>
      <c r="D20" s="39" t="n">
        <f aca="false">B20*C20</f>
        <v>1.02230623818526</v>
      </c>
    </row>
    <row r="21" customFormat="false" ht="15" hidden="false" customHeight="true" outlineLevel="0" collapsed="false">
      <c r="A21" s="22" t="s">
        <v>222</v>
      </c>
      <c r="B21" s="37" t="n">
        <f aca="false">B20*(1+B9)</f>
        <v>1.40608</v>
      </c>
      <c r="C21" s="38" t="n">
        <f aca="false">1/(1+B15)^3</f>
        <v>0.657516232431988</v>
      </c>
      <c r="D21" s="39" t="n">
        <f aca="false">B21*C21</f>
        <v>0.92452042409797</v>
      </c>
    </row>
    <row r="22" customFormat="false" ht="15" hidden="false" customHeight="true" outlineLevel="0" collapsed="false">
      <c r="A22" s="22" t="s">
        <v>223</v>
      </c>
      <c r="B22" s="37" t="n">
        <f aca="false">B21*(1+B10)</f>
        <v>1.4623232</v>
      </c>
      <c r="C22" s="38" t="n">
        <f aca="false">1/(1+B15)^4</f>
        <v>0.571753245593033</v>
      </c>
      <c r="D22" s="39" t="n">
        <f aca="false">B22*C22</f>
        <v>0.836088035705991</v>
      </c>
    </row>
    <row r="23" customFormat="false" ht="15" hidden="false" customHeight="true" outlineLevel="0" collapsed="false">
      <c r="A23" s="22" t="s">
        <v>224</v>
      </c>
      <c r="B23" s="37" t="n">
        <f aca="false">B22*(1+B11)</f>
        <v>1.520816128</v>
      </c>
      <c r="C23" s="38" t="n">
        <f aca="false">1/(1+B15)^5</f>
        <v>0.49717673529829</v>
      </c>
      <c r="D23" s="39" t="n">
        <f aca="false">B23*C23</f>
        <v>0.756114397508026</v>
      </c>
    </row>
    <row r="24" customFormat="false" ht="15" hidden="false" customHeight="true" outlineLevel="0" collapsed="false">
      <c r="A24" s="40" t="s">
        <v>225</v>
      </c>
      <c r="B24" s="41"/>
      <c r="C24" s="41"/>
      <c r="D24" s="42" t="n">
        <f aca="false">SUM(D19:D23)</f>
        <v>4.66946387810594</v>
      </c>
    </row>
    <row r="25" customFormat="false" ht="15" hidden="false" customHeight="true" outlineLevel="0" collapsed="false">
      <c r="A25" s="22" t="s">
        <v>226</v>
      </c>
      <c r="B25" s="39" t="n">
        <f aca="false">B23*(1+B12)</f>
        <v>1.58164877312</v>
      </c>
    </row>
    <row r="26" customFormat="false" ht="15" hidden="false" customHeight="true" outlineLevel="0" collapsed="false">
      <c r="A26" s="22" t="s">
        <v>227</v>
      </c>
      <c r="B26" s="39" t="n">
        <f aca="false">B25/(B15-B12)</f>
        <v>14.3786252101818</v>
      </c>
    </row>
    <row r="27" customFormat="false" ht="15" hidden="false" customHeight="true" outlineLevel="0" collapsed="false">
      <c r="A27" s="22" t="s">
        <v>228</v>
      </c>
      <c r="B27" s="39" t="n">
        <f aca="false">B26/(1+B15)^5</f>
        <v>7.14871794007589</v>
      </c>
    </row>
    <row r="29" customFormat="false" ht="15" hidden="false" customHeight="true" outlineLevel="0" collapsed="false">
      <c r="A29" s="4" t="s">
        <v>229</v>
      </c>
      <c r="B29" s="43" t="n">
        <f aca="false">D24+B27</f>
        <v>11.8181818181818</v>
      </c>
    </row>
    <row r="30" customFormat="false" ht="15" hidden="false" customHeight="true" outlineLevel="0" collapsed="false">
      <c r="A30" s="22" t="s">
        <v>106</v>
      </c>
      <c r="B30" s="44" t="n">
        <f aca="false">Assumptions!B31</f>
        <v>6</v>
      </c>
    </row>
    <row r="31" customFormat="false" ht="15" hidden="false" customHeight="true" outlineLevel="0" collapsed="false">
      <c r="A31" s="45" t="s">
        <v>230</v>
      </c>
      <c r="B31" s="46" t="n">
        <f aca="false">(B29-B30)/B30</f>
        <v>0.969696969696971</v>
      </c>
    </row>
    <row r="33" customFormat="false" ht="15.75" hidden="false" customHeight="true" outlineLevel="0" collapsed="false">
      <c r="A33" s="6" t="s">
        <v>231</v>
      </c>
      <c r="B33" s="7"/>
      <c r="C33" s="7"/>
      <c r="D33" s="7"/>
    </row>
    <row r="34" customFormat="false" ht="15" hidden="false" customHeight="true" outlineLevel="0" collapsed="false">
      <c r="A34" s="22" t="s">
        <v>232</v>
      </c>
      <c r="B34" s="37" t="n">
        <f aca="false">B6*(1+B7)</f>
        <v>1.3</v>
      </c>
    </row>
    <row r="35" customFormat="false" ht="15" hidden="false" customHeight="true" outlineLevel="0" collapsed="false">
      <c r="A35" s="45" t="s">
        <v>233</v>
      </c>
      <c r="B35" s="43" t="n">
        <f aca="false">B34/(B15-B12)</f>
        <v>11.8181818181818</v>
      </c>
    </row>
    <row r="36" customFormat="false" ht="15" hidden="false" customHeight="true" outlineLevel="0" collapsed="false">
      <c r="A36" s="22" t="s">
        <v>234</v>
      </c>
      <c r="B36" s="16" t="n">
        <f aca="false">(B35-6)/6</f>
        <v>0.96969696969697</v>
      </c>
    </row>
    <row r="38" customFormat="false" ht="15.75" hidden="false" customHeight="true" outlineLevel="0" collapsed="false">
      <c r="A38" s="6" t="s">
        <v>235</v>
      </c>
      <c r="B38" s="7"/>
      <c r="C38" s="7"/>
      <c r="D38" s="7"/>
    </row>
    <row r="39" customFormat="false" ht="18" hidden="false" customHeight="true" outlineLevel="0" collapsed="false">
      <c r="A39" s="21" t="s">
        <v>236</v>
      </c>
      <c r="B39" s="21" t="s">
        <v>237</v>
      </c>
      <c r="C39" s="21" t="s">
        <v>238</v>
      </c>
      <c r="D39" s="21" t="s">
        <v>239</v>
      </c>
      <c r="E39" s="21" t="s">
        <v>240</v>
      </c>
      <c r="F39" s="21" t="s">
        <v>241</v>
      </c>
      <c r="G39" s="21" t="s">
        <v>242</v>
      </c>
      <c r="H39" s="21" t="s">
        <v>243</v>
      </c>
      <c r="I39" s="21" t="s">
        <v>244</v>
      </c>
    </row>
    <row r="40" customFormat="false" ht="15" hidden="false" customHeight="true" outlineLevel="0" collapsed="false">
      <c r="A40" s="5" t="s">
        <v>245</v>
      </c>
      <c r="B40" s="47" t="n">
        <v>26</v>
      </c>
      <c r="C40" s="47" t="n">
        <v>20.8</v>
      </c>
      <c r="D40" s="47" t="n">
        <v>17.33</v>
      </c>
      <c r="E40" s="47" t="n">
        <v>14.86</v>
      </c>
      <c r="F40" s="47" t="n">
        <v>13</v>
      </c>
      <c r="G40" s="47" t="n">
        <v>11.56</v>
      </c>
      <c r="H40" s="47" t="n">
        <v>9.45</v>
      </c>
      <c r="I40" s="47" t="n">
        <v>7.43</v>
      </c>
    </row>
    <row r="41" customFormat="false" ht="15" hidden="false" customHeight="true" outlineLevel="0" collapsed="false">
      <c r="A41" s="5" t="s">
        <v>246</v>
      </c>
      <c r="B41" s="47" t="n">
        <v>28.6</v>
      </c>
      <c r="C41" s="47" t="n">
        <v>22.88</v>
      </c>
      <c r="D41" s="47" t="n">
        <v>19.07</v>
      </c>
      <c r="E41" s="47" t="n">
        <v>16.34</v>
      </c>
      <c r="F41" s="47" t="n">
        <v>14.3</v>
      </c>
      <c r="G41" s="47" t="n">
        <v>12.71</v>
      </c>
      <c r="H41" s="47" t="n">
        <v>10.4</v>
      </c>
      <c r="I41" s="47" t="n">
        <v>8.17</v>
      </c>
    </row>
    <row r="42" customFormat="false" ht="15" hidden="false" customHeight="true" outlineLevel="0" collapsed="false">
      <c r="A42" s="5" t="s">
        <v>247</v>
      </c>
      <c r="B42" s="47" t="n">
        <v>31.2</v>
      </c>
      <c r="C42" s="47" t="n">
        <v>24.96</v>
      </c>
      <c r="D42" s="47" t="n">
        <v>20.8</v>
      </c>
      <c r="E42" s="47" t="n">
        <v>17.83</v>
      </c>
      <c r="F42" s="47" t="n">
        <v>15.6</v>
      </c>
      <c r="G42" s="47" t="n">
        <v>13.87</v>
      </c>
      <c r="H42" s="47" t="n">
        <v>11.35</v>
      </c>
      <c r="I42" s="47" t="n">
        <v>8.91</v>
      </c>
    </row>
    <row r="43" customFormat="false" ht="15" hidden="false" customHeight="true" outlineLevel="0" collapsed="false">
      <c r="A43" s="5" t="s">
        <v>248</v>
      </c>
      <c r="B43" s="47" t="n">
        <v>32.5</v>
      </c>
      <c r="C43" s="47" t="n">
        <v>26</v>
      </c>
      <c r="D43" s="47" t="n">
        <v>21.67</v>
      </c>
      <c r="E43" s="47" t="n">
        <v>18.57</v>
      </c>
      <c r="F43" s="47" t="n">
        <v>16.25</v>
      </c>
      <c r="G43" s="47" t="n">
        <v>14.44</v>
      </c>
      <c r="H43" s="47" t="n">
        <v>11.82</v>
      </c>
      <c r="I43" s="47" t="n">
        <v>9.29</v>
      </c>
    </row>
    <row r="44" customFormat="false" ht="15" hidden="false" customHeight="true" outlineLevel="0" collapsed="false">
      <c r="A44" s="5" t="s">
        <v>249</v>
      </c>
      <c r="B44" s="47" t="n">
        <v>33.8</v>
      </c>
      <c r="C44" s="47" t="n">
        <v>27.04</v>
      </c>
      <c r="D44" s="47" t="n">
        <v>22.53</v>
      </c>
      <c r="E44" s="47" t="n">
        <v>19.31</v>
      </c>
      <c r="F44" s="47" t="n">
        <v>16.9</v>
      </c>
      <c r="G44" s="47" t="n">
        <v>15.02</v>
      </c>
      <c r="H44" s="47" t="n">
        <v>12.29</v>
      </c>
      <c r="I44" s="47" t="n">
        <v>9.66</v>
      </c>
    </row>
    <row r="45" customFormat="false" ht="15" hidden="false" customHeight="true" outlineLevel="0" collapsed="false">
      <c r="A45" s="5" t="s">
        <v>250</v>
      </c>
      <c r="B45" s="47" t="n">
        <v>36.4</v>
      </c>
      <c r="C45" s="47" t="n">
        <v>29.12</v>
      </c>
      <c r="D45" s="47" t="n">
        <v>24.27</v>
      </c>
      <c r="E45" s="47" t="n">
        <v>20.8</v>
      </c>
      <c r="F45" s="47" t="n">
        <v>18.2</v>
      </c>
      <c r="G45" s="47" t="n">
        <v>16.18</v>
      </c>
      <c r="H45" s="47" t="n">
        <v>13.24</v>
      </c>
      <c r="I45" s="47" t="n">
        <v>10.4</v>
      </c>
    </row>
    <row r="46" customFormat="false" ht="15" hidden="false" customHeight="true" outlineLevel="0" collapsed="false">
      <c r="A46" s="5" t="s">
        <v>251</v>
      </c>
      <c r="B46" s="47" t="n">
        <v>39</v>
      </c>
      <c r="C46" s="47" t="n">
        <v>31.2</v>
      </c>
      <c r="D46" s="47" t="n">
        <v>26</v>
      </c>
      <c r="E46" s="47" t="n">
        <v>22.29</v>
      </c>
      <c r="F46" s="47" t="n">
        <v>19.5</v>
      </c>
      <c r="G46" s="47" t="n">
        <v>17.33</v>
      </c>
      <c r="H46" s="47" t="n">
        <v>14.18</v>
      </c>
      <c r="I46" s="47" t="n">
        <v>11.14</v>
      </c>
    </row>
    <row r="47" customFormat="false" ht="15" hidden="false" customHeight="true" outlineLevel="0" collapsed="false">
      <c r="A47" s="5" t="s">
        <v>252</v>
      </c>
      <c r="B47" s="47" t="n">
        <v>45.5</v>
      </c>
      <c r="C47" s="47" t="n">
        <v>36.4</v>
      </c>
      <c r="D47" s="47" t="n">
        <v>30.33</v>
      </c>
      <c r="E47" s="47" t="n">
        <v>26</v>
      </c>
      <c r="F47" s="47" t="n">
        <v>22.75</v>
      </c>
      <c r="G47" s="47" t="n">
        <v>20.22</v>
      </c>
      <c r="H47" s="47" t="n">
        <v>16.55</v>
      </c>
      <c r="I47" s="47" t="n">
        <v>13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</cols>
  <sheetData>
    <row r="1" customFormat="false" ht="24" hidden="false" customHeight="true" outlineLevel="0" collapsed="false">
      <c r="A1" s="2" t="s">
        <v>253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0" t="s">
        <v>254</v>
      </c>
    </row>
    <row r="4" customFormat="false" ht="19.5" hidden="false" customHeight="true" outlineLevel="0" collapsed="false">
      <c r="A4" s="21" t="s">
        <v>255</v>
      </c>
      <c r="B4" s="21" t="s">
        <v>256</v>
      </c>
      <c r="C4" s="21" t="s">
        <v>257</v>
      </c>
      <c r="D4" s="21" t="s">
        <v>258</v>
      </c>
      <c r="E4" s="21" t="s">
        <v>259</v>
      </c>
      <c r="F4" s="21" t="s">
        <v>260</v>
      </c>
      <c r="G4" s="21" t="s">
        <v>261</v>
      </c>
    </row>
    <row r="5" customFormat="false" ht="15.75" hidden="false" customHeight="true" outlineLevel="0" collapsed="false">
      <c r="A5" s="6" t="s">
        <v>262</v>
      </c>
      <c r="B5" s="7"/>
      <c r="C5" s="7"/>
      <c r="D5" s="7"/>
      <c r="E5" s="7"/>
      <c r="F5" s="7"/>
      <c r="G5" s="7"/>
    </row>
    <row r="6" customFormat="false" ht="15" hidden="false" customHeight="true" outlineLevel="0" collapsed="false">
      <c r="A6" s="5" t="s">
        <v>120</v>
      </c>
      <c r="B6" s="11" t="n">
        <v>469374</v>
      </c>
      <c r="C6" s="20" t="n">
        <f aca="false">B6*(1+Assumptions!B11)</f>
        <v>488148.96</v>
      </c>
      <c r="D6" s="20" t="n">
        <f aca="false">C6*(1+Assumptions!B11)</f>
        <v>507674.9184</v>
      </c>
      <c r="E6" s="20" t="n">
        <f aca="false">D6*(1+Assumptions!B11)</f>
        <v>527981.915136</v>
      </c>
      <c r="F6" s="20" t="n">
        <f aca="false">E6*(1+Assumptions!B11)</f>
        <v>549101.19174144</v>
      </c>
      <c r="G6" s="20" t="n">
        <f aca="false">F6*(1+Assumptions!B11)</f>
        <v>571065.239411098</v>
      </c>
    </row>
    <row r="7" customFormat="false" ht="15" hidden="false" customHeight="true" outlineLevel="0" collapsed="false">
      <c r="A7" s="5" t="s">
        <v>121</v>
      </c>
      <c r="B7" s="11" t="n">
        <v>8500</v>
      </c>
      <c r="C7" s="20" t="n">
        <f aca="false">B7</f>
        <v>8500</v>
      </c>
      <c r="D7" s="20" t="n">
        <f aca="false">C7</f>
        <v>8500</v>
      </c>
      <c r="E7" s="20" t="n">
        <f aca="false">D7</f>
        <v>8500</v>
      </c>
      <c r="F7" s="20" t="n">
        <f aca="false">E7</f>
        <v>8500</v>
      </c>
      <c r="G7" s="20" t="n">
        <f aca="false">F7</f>
        <v>8500</v>
      </c>
    </row>
    <row r="8" customFormat="false" ht="15" hidden="false" customHeight="true" outlineLevel="0" collapsed="false">
      <c r="A8" s="5" t="s">
        <v>122</v>
      </c>
      <c r="B8" s="11" t="n">
        <v>477874</v>
      </c>
      <c r="C8" s="20" t="n">
        <f aca="false">C6+C7</f>
        <v>496648.96</v>
      </c>
      <c r="D8" s="20" t="n">
        <f aca="false">D6+D7</f>
        <v>516174.9184</v>
      </c>
      <c r="E8" s="20" t="n">
        <f aca="false">E6+E7</f>
        <v>536481.915136</v>
      </c>
      <c r="F8" s="20" t="n">
        <f aca="false">F6+F7</f>
        <v>557601.19174144</v>
      </c>
      <c r="G8" s="20" t="n">
        <f aca="false">G6+G7</f>
        <v>579565.239411098</v>
      </c>
    </row>
    <row r="9" customFormat="false" ht="15" hidden="false" customHeight="true" outlineLevel="0" collapsed="false">
      <c r="A9" s="5" t="s">
        <v>263</v>
      </c>
      <c r="B9" s="11" t="n">
        <v>152900</v>
      </c>
      <c r="C9" s="20" t="n">
        <f aca="false">B9*1.04</f>
        <v>159016</v>
      </c>
      <c r="D9" s="20" t="n">
        <f aca="false">C9*1.04</f>
        <v>165376.64</v>
      </c>
      <c r="E9" s="20" t="n">
        <f aca="false">D9*1.04</f>
        <v>171991.7056</v>
      </c>
      <c r="F9" s="20" t="n">
        <f aca="false">E9*1.04</f>
        <v>178871.373824</v>
      </c>
      <c r="G9" s="20" t="n">
        <f aca="false">F9*1.04</f>
        <v>186026.22877696</v>
      </c>
    </row>
    <row r="10" customFormat="false" ht="15" hidden="false" customHeight="true" outlineLevel="0" collapsed="false">
      <c r="A10" s="9" t="s">
        <v>127</v>
      </c>
      <c r="B10" s="48" t="n">
        <v>324974</v>
      </c>
      <c r="C10" s="49" t="n">
        <f aca="false">C8-C9</f>
        <v>337632.96</v>
      </c>
      <c r="D10" s="49" t="n">
        <f aca="false">D8-D9</f>
        <v>350798.2784</v>
      </c>
      <c r="E10" s="49" t="n">
        <f aca="false">E8-E9</f>
        <v>364490.209536</v>
      </c>
      <c r="F10" s="49" t="n">
        <f aca="false">F8-F9</f>
        <v>378729.81791744</v>
      </c>
      <c r="G10" s="49" t="n">
        <f aca="false">G8-G9</f>
        <v>393539.010634138</v>
      </c>
    </row>
    <row r="11" customFormat="false" ht="15" hidden="false" customHeight="true" outlineLevel="0" collapsed="false">
      <c r="A11" s="5" t="s">
        <v>128</v>
      </c>
      <c r="B11" s="11" t="n">
        <v>18600</v>
      </c>
      <c r="C11" s="20" t="n">
        <f aca="false">B11</f>
        <v>18600</v>
      </c>
      <c r="D11" s="20" t="n">
        <f aca="false">C11</f>
        <v>18600</v>
      </c>
      <c r="E11" s="20" t="n">
        <f aca="false">D11</f>
        <v>18600</v>
      </c>
      <c r="F11" s="20" t="n">
        <f aca="false">E11</f>
        <v>18600</v>
      </c>
      <c r="G11" s="20" t="n">
        <f aca="false">F11</f>
        <v>18600</v>
      </c>
    </row>
    <row r="12" customFormat="false" ht="15" hidden="false" customHeight="true" outlineLevel="0" collapsed="false">
      <c r="A12" s="9" t="s">
        <v>131</v>
      </c>
      <c r="B12" s="48" t="n">
        <v>306374</v>
      </c>
      <c r="C12" s="49" t="n">
        <f aca="false">C10-C11</f>
        <v>319032.96</v>
      </c>
      <c r="D12" s="49" t="n">
        <f aca="false">D10-D11</f>
        <v>332198.2784</v>
      </c>
      <c r="E12" s="49" t="n">
        <f aca="false">E10-E11</f>
        <v>345890.209536</v>
      </c>
      <c r="F12" s="49" t="n">
        <f aca="false">F10-F11</f>
        <v>360129.81791744</v>
      </c>
      <c r="G12" s="49" t="n">
        <f aca="false">G10-G11</f>
        <v>374939.010634138</v>
      </c>
    </row>
    <row r="13" customFormat="false" ht="15" hidden="false" customHeight="true" outlineLevel="0" collapsed="false">
      <c r="A13" s="5" t="s">
        <v>264</v>
      </c>
      <c r="B13" s="11" t="n">
        <v>8200</v>
      </c>
      <c r="C13" s="20" t="n">
        <f aca="false">B13</f>
        <v>8200</v>
      </c>
      <c r="D13" s="20" t="n">
        <f aca="false">C13</f>
        <v>8200</v>
      </c>
      <c r="E13" s="20" t="n">
        <f aca="false">D13</f>
        <v>8200</v>
      </c>
      <c r="F13" s="20" t="n">
        <f aca="false">E13</f>
        <v>8200</v>
      </c>
      <c r="G13" s="20" t="n">
        <f aca="false">F13</f>
        <v>8200</v>
      </c>
    </row>
    <row r="14" customFormat="false" ht="15" hidden="false" customHeight="true" outlineLevel="0" collapsed="false">
      <c r="A14" s="5" t="s">
        <v>265</v>
      </c>
      <c r="B14" s="11" t="n">
        <v>-12000</v>
      </c>
      <c r="C14" s="20" t="n">
        <f aca="false">B14*1.03</f>
        <v>-12360</v>
      </c>
      <c r="D14" s="20" t="n">
        <f aca="false">C14*1.03</f>
        <v>-12730.8</v>
      </c>
      <c r="E14" s="20" t="n">
        <f aca="false">D14*1.03</f>
        <v>-13112.724</v>
      </c>
      <c r="F14" s="20" t="n">
        <f aca="false">E14*1.03</f>
        <v>-13506.10572</v>
      </c>
      <c r="G14" s="20" t="n">
        <f aca="false">F14*1.03</f>
        <v>-13911.2888916</v>
      </c>
    </row>
    <row r="15" customFormat="false" ht="15" hidden="false" customHeight="true" outlineLevel="0" collapsed="false">
      <c r="A15" s="9" t="s">
        <v>266</v>
      </c>
      <c r="B15" s="48" t="n">
        <v>302574</v>
      </c>
      <c r="C15" s="49" t="n">
        <f aca="false">C12+C13-C14</f>
        <v>339592.96</v>
      </c>
      <c r="D15" s="49" t="n">
        <f aca="false">D12+D13-D14</f>
        <v>353129.0784</v>
      </c>
      <c r="E15" s="49" t="n">
        <f aca="false">E12+E13-E14</f>
        <v>367202.933536</v>
      </c>
      <c r="F15" s="49" t="n">
        <f aca="false">F12+F13-F14</f>
        <v>381835.92363744</v>
      </c>
      <c r="G15" s="49" t="n">
        <f aca="false">G12+G13-G14</f>
        <v>397050.299525738</v>
      </c>
    </row>
    <row r="17" customFormat="false" ht="15.75" hidden="false" customHeight="true" outlineLevel="0" collapsed="false">
      <c r="A17" s="6" t="s">
        <v>267</v>
      </c>
      <c r="B17" s="7"/>
      <c r="C17" s="7"/>
      <c r="D17" s="7"/>
      <c r="E17" s="7"/>
      <c r="F17" s="7"/>
      <c r="G17" s="7"/>
    </row>
    <row r="18" customFormat="false" ht="15" hidden="false" customHeight="true" outlineLevel="0" collapsed="false">
      <c r="A18" s="22" t="s">
        <v>268</v>
      </c>
      <c r="B18" s="50" t="n">
        <v>1</v>
      </c>
      <c r="C18" s="50" t="n">
        <v>2</v>
      </c>
      <c r="D18" s="50" t="n">
        <v>3</v>
      </c>
      <c r="E18" s="50" t="n">
        <v>4</v>
      </c>
      <c r="F18" s="50" t="n">
        <v>5</v>
      </c>
      <c r="G18" s="50" t="n">
        <v>6</v>
      </c>
    </row>
    <row r="19" customFormat="false" ht="15" hidden="false" customHeight="true" outlineLevel="0" collapsed="false">
      <c r="A19" s="22" t="s">
        <v>269</v>
      </c>
      <c r="B19" s="51" t="n">
        <f aca="false">1/(1+Assumptions!B26)^1</f>
        <v>0.871259248416922</v>
      </c>
      <c r="C19" s="51" t="n">
        <f aca="false">1/(1+Assumptions!B26)^2</f>
        <v>0.75909267795202</v>
      </c>
      <c r="D19" s="51" t="n">
        <f aca="false">1/(1+Assumptions!B26)^3</f>
        <v>0.661366516071265</v>
      </c>
      <c r="E19" s="51" t="n">
        <f aca="false">1/(1+Assumptions!B26)^4</f>
        <v>0.576221693720369</v>
      </c>
      <c r="F19" s="51" t="n">
        <f aca="false">1/(1+Assumptions!B26)^5</f>
        <v>0.502038479792334</v>
      </c>
      <c r="G19" s="51" t="n">
        <f aca="false">1/(1+Assumptions!B26)^6</f>
        <v>0.437405668580243</v>
      </c>
    </row>
    <row r="20" customFormat="false" ht="15" hidden="false" customHeight="true" outlineLevel="0" collapsed="false">
      <c r="A20" s="52" t="s">
        <v>270</v>
      </c>
      <c r="B20" s="53" t="n">
        <f aca="false">B15*B19</f>
        <v>263620.395830502</v>
      </c>
      <c r="C20" s="53" t="n">
        <f aca="false">C15*C19</f>
        <v>257782.529420053</v>
      </c>
      <c r="D20" s="53" t="n">
        <f aca="false">D15*D19</f>
        <v>233547.748304865</v>
      </c>
      <c r="E20" s="53" t="n">
        <f aca="false">E15*E19</f>
        <v>211590.296301202</v>
      </c>
      <c r="F20" s="53" t="n">
        <f aca="false">F15*F19</f>
        <v>191696.326633042</v>
      </c>
      <c r="G20" s="53" t="n">
        <f aca="false">G15*G19</f>
        <v>173672.051724041</v>
      </c>
    </row>
    <row r="22" customFormat="false" ht="15.75" hidden="false" customHeight="true" outlineLevel="0" collapsed="false">
      <c r="A22" s="6" t="s">
        <v>271</v>
      </c>
      <c r="B22" s="7"/>
      <c r="C22" s="7"/>
      <c r="D22" s="7"/>
    </row>
    <row r="23" customFormat="false" ht="15" hidden="false" customHeight="true" outlineLevel="0" collapsed="false">
      <c r="A23" s="5" t="s">
        <v>272</v>
      </c>
      <c r="B23" s="20" t="n">
        <f aca="false">SUM(B20:F20)</f>
        <v>1158237.29648966</v>
      </c>
    </row>
    <row r="24" customFormat="false" ht="15" hidden="false" customHeight="true" outlineLevel="0" collapsed="false">
      <c r="A24" s="5" t="s">
        <v>273</v>
      </c>
      <c r="B24" s="20" t="n">
        <f aca="false">F15*(1+Assumptions!B12)</f>
        <v>397109.360582938</v>
      </c>
    </row>
    <row r="25" customFormat="false" ht="15" hidden="false" customHeight="true" outlineLevel="0" collapsed="false">
      <c r="A25" s="5" t="s">
        <v>274</v>
      </c>
      <c r="B25" s="20" t="n">
        <f aca="false">B24/(Assumptions!B26-Assumptions!B12)</f>
        <v>3684990.91146336</v>
      </c>
    </row>
    <row r="26" customFormat="false" ht="15" hidden="false" customHeight="true" outlineLevel="0" collapsed="false">
      <c r="A26" s="5" t="s">
        <v>228</v>
      </c>
      <c r="B26" s="20" t="n">
        <f aca="false">B25/(1+Assumptions!B26)^6</f>
        <v>1611835.91334075</v>
      </c>
    </row>
    <row r="27" customFormat="false" ht="15" hidden="false" customHeight="true" outlineLevel="0" collapsed="false">
      <c r="A27" s="4" t="s">
        <v>275</v>
      </c>
      <c r="B27" s="20" t="n">
        <f aca="false">B23+B26+142000-650000</f>
        <v>2262073.20983042</v>
      </c>
    </row>
    <row r="28" customFormat="false" ht="15" hidden="false" customHeight="true" outlineLevel="0" collapsed="false">
      <c r="A28" s="5" t="s">
        <v>104</v>
      </c>
      <c r="B28" s="23" t="n">
        <v>180541</v>
      </c>
    </row>
    <row r="29" customFormat="false" ht="15" hidden="false" customHeight="true" outlineLevel="0" collapsed="false">
      <c r="A29" s="4" t="s">
        <v>276</v>
      </c>
      <c r="B29" s="54" t="n">
        <f aca="false">B27/B28*1000</f>
        <v>12529.4155334822</v>
      </c>
    </row>
    <row r="30" customFormat="false" ht="15" hidden="false" customHeight="true" outlineLevel="0" collapsed="false">
      <c r="A30" s="5" t="s">
        <v>106</v>
      </c>
      <c r="B30" s="26" t="n">
        <v>6</v>
      </c>
    </row>
    <row r="31" customFormat="false" ht="15" hidden="false" customHeight="true" outlineLevel="0" collapsed="false">
      <c r="A31" s="5" t="s">
        <v>277</v>
      </c>
      <c r="B31" s="17" t="n">
        <f aca="false">(B29-B30)/B30</f>
        <v>2087.23592224704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20"/>
  </cols>
  <sheetData>
    <row r="1" customFormat="false" ht="24" hidden="false" customHeight="true" outlineLevel="0" collapsed="false">
      <c r="A1" s="2" t="s">
        <v>278</v>
      </c>
      <c r="B1" s="2"/>
      <c r="C1" s="2"/>
      <c r="D1" s="2"/>
    </row>
    <row r="2" customFormat="false" ht="15" hidden="false" customHeight="true" outlineLevel="0" collapsed="false">
      <c r="A2" s="10" t="s">
        <v>279</v>
      </c>
    </row>
    <row r="4" customFormat="false" ht="15.75" hidden="false" customHeight="true" outlineLevel="0" collapsed="false">
      <c r="A4" s="6" t="s">
        <v>280</v>
      </c>
      <c r="B4" s="7"/>
      <c r="C4" s="7"/>
      <c r="D4" s="7"/>
    </row>
    <row r="5" customFormat="false" ht="15.75" hidden="false" customHeight="true" outlineLevel="0" collapsed="false">
      <c r="A5" s="21" t="s">
        <v>281</v>
      </c>
      <c r="B5" s="21" t="s">
        <v>198</v>
      </c>
      <c r="C5" s="21" t="s">
        <v>199</v>
      </c>
      <c r="D5" s="21" t="s">
        <v>282</v>
      </c>
    </row>
    <row r="6" customFormat="false" ht="15" hidden="false" customHeight="true" outlineLevel="0" collapsed="false">
      <c r="A6" s="22" t="s">
        <v>127</v>
      </c>
      <c r="B6" s="11" t="n">
        <v>324974</v>
      </c>
      <c r="C6" s="12" t="s">
        <v>283</v>
      </c>
    </row>
    <row r="7" customFormat="false" ht="15" hidden="false" customHeight="true" outlineLevel="0" collapsed="false">
      <c r="A7" s="22" t="s">
        <v>284</v>
      </c>
      <c r="B7" s="11" t="n">
        <v>5680000</v>
      </c>
      <c r="C7" s="12" t="s">
        <v>285</v>
      </c>
    </row>
    <row r="8" customFormat="false" ht="15" hidden="false" customHeight="true" outlineLevel="0" collapsed="false">
      <c r="A8" s="22" t="s">
        <v>286</v>
      </c>
      <c r="B8" s="13" t="n">
        <v>0.0572</v>
      </c>
      <c r="C8" s="12" t="s">
        <v>287</v>
      </c>
    </row>
    <row r="9" customFormat="false" ht="15" hidden="false" customHeight="true" outlineLevel="0" collapsed="false">
      <c r="A9" s="22" t="s">
        <v>71</v>
      </c>
      <c r="B9" s="13" t="n">
        <v>0.083</v>
      </c>
      <c r="C9" s="12" t="s">
        <v>288</v>
      </c>
    </row>
    <row r="10" customFormat="false" ht="15" hidden="false" customHeight="true" outlineLevel="0" collapsed="false">
      <c r="A10" s="22" t="s">
        <v>289</v>
      </c>
      <c r="B10" s="13" t="n">
        <v>0.0572</v>
      </c>
      <c r="C10" s="12" t="s">
        <v>64</v>
      </c>
    </row>
    <row r="11" customFormat="false" ht="15" hidden="false" customHeight="true" outlineLevel="0" collapsed="false">
      <c r="A11" s="22" t="s">
        <v>290</v>
      </c>
      <c r="B11" s="13" t="n">
        <v>0.188</v>
      </c>
      <c r="C11" s="12" t="s">
        <v>291</v>
      </c>
    </row>
    <row r="12" customFormat="false" ht="15" hidden="false" customHeight="true" outlineLevel="0" collapsed="false">
      <c r="A12" s="22" t="s">
        <v>292</v>
      </c>
      <c r="B12" s="13" t="n">
        <v>0.0634</v>
      </c>
      <c r="C12" s="12" t="s">
        <v>293</v>
      </c>
    </row>
    <row r="14" customFormat="false" ht="15.75" hidden="false" customHeight="true" outlineLevel="0" collapsed="false">
      <c r="A14" s="6" t="s">
        <v>294</v>
      </c>
      <c r="B14" s="7"/>
      <c r="C14" s="7"/>
      <c r="D14" s="7"/>
    </row>
    <row r="15" customFormat="false" ht="15.75" hidden="false" customHeight="true" outlineLevel="0" collapsed="false">
      <c r="A15" s="21" t="s">
        <v>295</v>
      </c>
      <c r="B15" s="21" t="s">
        <v>296</v>
      </c>
      <c r="C15" s="21" t="s">
        <v>297</v>
      </c>
      <c r="D15" s="21" t="s">
        <v>282</v>
      </c>
    </row>
    <row r="16" customFormat="false" ht="15" hidden="false" customHeight="true" outlineLevel="0" collapsed="false">
      <c r="A16" s="5" t="s">
        <v>298</v>
      </c>
      <c r="B16" s="55" t="s">
        <v>299</v>
      </c>
      <c r="C16" s="55" t="s">
        <v>300</v>
      </c>
      <c r="D16" s="55" t="s">
        <v>301</v>
      </c>
    </row>
    <row r="17" customFormat="false" ht="15" hidden="false" customHeight="true" outlineLevel="0" collapsed="false">
      <c r="A17" s="5" t="s">
        <v>302</v>
      </c>
      <c r="B17" s="55" t="s">
        <v>303</v>
      </c>
      <c r="C17" s="55" t="s">
        <v>304</v>
      </c>
      <c r="D17" s="55" t="s">
        <v>305</v>
      </c>
    </row>
    <row r="18" customFormat="false" ht="15" hidden="false" customHeight="true" outlineLevel="0" collapsed="false">
      <c r="A18" s="5" t="s">
        <v>306</v>
      </c>
      <c r="B18" s="55" t="s">
        <v>307</v>
      </c>
      <c r="C18" s="55" t="s">
        <v>308</v>
      </c>
      <c r="D18" s="55" t="s">
        <v>309</v>
      </c>
    </row>
    <row r="19" customFormat="false" ht="15" hidden="false" customHeight="true" outlineLevel="0" collapsed="false">
      <c r="A19" s="5" t="s">
        <v>310</v>
      </c>
      <c r="B19" s="55" t="s">
        <v>311</v>
      </c>
      <c r="C19" s="55" t="s">
        <v>312</v>
      </c>
      <c r="D19" s="55" t="s">
        <v>313</v>
      </c>
    </row>
    <row r="20" customFormat="false" ht="15" hidden="false" customHeight="true" outlineLevel="0" collapsed="false">
      <c r="A20" s="5" t="s">
        <v>314</v>
      </c>
      <c r="B20" s="55" t="s">
        <v>315</v>
      </c>
      <c r="C20" s="55" t="s">
        <v>316</v>
      </c>
      <c r="D20" s="55"/>
    </row>
    <row r="21" customFormat="false" ht="15" hidden="false" customHeight="true" outlineLevel="0" collapsed="false">
      <c r="A21" s="5" t="s">
        <v>317</v>
      </c>
      <c r="B21" s="55" t="s">
        <v>318</v>
      </c>
      <c r="C21" s="55" t="s">
        <v>319</v>
      </c>
      <c r="D21" s="55" t="s">
        <v>320</v>
      </c>
    </row>
    <row r="22" customFormat="false" ht="15" hidden="false" customHeight="true" outlineLevel="0" collapsed="false">
      <c r="A22" s="5" t="s">
        <v>321</v>
      </c>
      <c r="B22" s="55" t="s">
        <v>322</v>
      </c>
      <c r="C22" s="55" t="s">
        <v>323</v>
      </c>
      <c r="D22" s="55" t="s">
        <v>324</v>
      </c>
    </row>
    <row r="24" customFormat="false" ht="15.75" hidden="false" customHeight="true" outlineLevel="0" collapsed="false">
      <c r="A24" s="6" t="s">
        <v>325</v>
      </c>
      <c r="B24" s="7"/>
      <c r="C24" s="7"/>
      <c r="D24" s="7"/>
    </row>
    <row r="25" customFormat="false" ht="15.75" hidden="false" customHeight="true" outlineLevel="0" collapsed="false">
      <c r="A25" s="21" t="s">
        <v>183</v>
      </c>
      <c r="B25" s="21" t="s">
        <v>326</v>
      </c>
      <c r="C25" s="21" t="s">
        <v>185</v>
      </c>
      <c r="D25" s="21" t="s">
        <v>327</v>
      </c>
    </row>
    <row r="26" customFormat="false" ht="15" hidden="false" customHeight="true" outlineLevel="0" collapsed="false">
      <c r="A26" s="5" t="s">
        <v>328</v>
      </c>
      <c r="B26" s="11" t="n">
        <v>6499480</v>
      </c>
      <c r="C26" s="34" t="n">
        <v>33235.55</v>
      </c>
      <c r="D26" s="56" t="n">
        <v>5538.25885717556</v>
      </c>
    </row>
    <row r="27" customFormat="false" ht="15" hidden="false" customHeight="true" outlineLevel="0" collapsed="false">
      <c r="A27" s="5" t="s">
        <v>186</v>
      </c>
      <c r="B27" s="11" t="n">
        <v>5908618</v>
      </c>
      <c r="C27" s="34" t="n">
        <v>29962.82</v>
      </c>
      <c r="D27" s="56" t="n">
        <v>4992.80397602962</v>
      </c>
    </row>
    <row r="28" customFormat="false" ht="15" hidden="false" customHeight="true" outlineLevel="0" collapsed="false">
      <c r="A28" s="5" t="s">
        <v>187</v>
      </c>
      <c r="B28" s="11" t="n">
        <v>5416233</v>
      </c>
      <c r="C28" s="34" t="n">
        <v>27235.55</v>
      </c>
      <c r="D28" s="56" t="n">
        <v>4538.25824174134</v>
      </c>
    </row>
    <row r="29" customFormat="false" ht="15" hidden="false" customHeight="true" outlineLevel="0" collapsed="false">
      <c r="A29" s="5" t="s">
        <v>188</v>
      </c>
      <c r="B29" s="11" t="n">
        <v>4999600</v>
      </c>
      <c r="C29" s="34" t="n">
        <v>24927.86</v>
      </c>
      <c r="D29" s="56" t="n">
        <v>4153.64262042048</v>
      </c>
    </row>
    <row r="30" customFormat="false" ht="15" hidden="false" customHeight="true" outlineLevel="0" collapsed="false">
      <c r="A30" s="5" t="s">
        <v>189</v>
      </c>
      <c r="B30" s="11" t="n">
        <v>4642486</v>
      </c>
      <c r="C30" s="34" t="n">
        <v>22949.83</v>
      </c>
      <c r="D30" s="56" t="n">
        <v>3823.97208785974</v>
      </c>
    </row>
    <row r="31" customFormat="false" ht="15" hidden="false" customHeight="true" outlineLevel="0" collapsed="false">
      <c r="A31" s="5" t="s">
        <v>190</v>
      </c>
      <c r="B31" s="11" t="n">
        <v>4332987</v>
      </c>
      <c r="C31" s="34" t="n">
        <v>21235.55</v>
      </c>
      <c r="D31" s="56" t="n">
        <v>3538.25762630711</v>
      </c>
    </row>
    <row r="32" customFormat="false" ht="15" hidden="false" customHeight="true" outlineLevel="0" collapsed="false">
      <c r="A32" s="5" t="s">
        <v>191</v>
      </c>
      <c r="B32" s="11" t="n">
        <v>4062175</v>
      </c>
      <c r="C32" s="34" t="n">
        <v>19735.54</v>
      </c>
      <c r="D32" s="56" t="n">
        <v>3288.25747244855</v>
      </c>
    </row>
    <row r="33" customFormat="false" ht="15" hidden="false" customHeight="true" outlineLevel="0" collapsed="false">
      <c r="A33" s="5" t="s">
        <v>192</v>
      </c>
      <c r="B33" s="11" t="n">
        <v>3823224</v>
      </c>
      <c r="C33" s="34" t="n">
        <v>18412.01</v>
      </c>
      <c r="D33" s="56" t="n">
        <v>3067.66910139688</v>
      </c>
    </row>
    <row r="34" customFormat="false" ht="15" hidden="false" customHeight="true" outlineLevel="0" collapsed="false">
      <c r="A34" s="5" t="s">
        <v>193</v>
      </c>
      <c r="B34" s="11" t="n">
        <v>3610822</v>
      </c>
      <c r="C34" s="34" t="n">
        <v>17235.54</v>
      </c>
      <c r="D34" s="56" t="n">
        <v>2871.59054935095</v>
      </c>
    </row>
    <row r="35" customFormat="false" ht="15" hidden="false" customHeight="true" outlineLevel="0" collapsed="false">
      <c r="A35" s="5" t="s">
        <v>329</v>
      </c>
      <c r="B35" s="11" t="n">
        <v>3420779</v>
      </c>
      <c r="C35" s="34" t="n">
        <v>16182.91</v>
      </c>
      <c r="D35" s="56" t="n">
        <v>2696.15184488881</v>
      </c>
    </row>
    <row r="36" customFormat="false" ht="15" hidden="false" customHeight="true" outlineLevel="0" collapsed="false">
      <c r="A36" s="5" t="s">
        <v>330</v>
      </c>
      <c r="B36" s="11" t="n">
        <v>3249740</v>
      </c>
      <c r="C36" s="34" t="n">
        <v>15235.54</v>
      </c>
      <c r="D36" s="56" t="n">
        <v>2538.25701087288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0082"/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1" min="2" style="1" width="14"/>
  </cols>
  <sheetData>
    <row r="1" customFormat="false" ht="24" hidden="false" customHeight="true" outlineLevel="0" collapsed="false">
      <c r="A1" s="2" t="s">
        <v>331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10" t="s">
        <v>332</v>
      </c>
    </row>
    <row r="4" customFormat="false" ht="15.75" hidden="false" customHeight="true" outlineLevel="0" collapsed="false">
      <c r="A4" s="6" t="s">
        <v>333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18" hidden="false" customHeight="true" outlineLevel="0" collapsed="false">
      <c r="A5" s="21" t="s">
        <v>334</v>
      </c>
      <c r="B5" s="21" t="s">
        <v>335</v>
      </c>
      <c r="C5" s="21" t="s">
        <v>336</v>
      </c>
      <c r="D5" s="21" t="s">
        <v>337</v>
      </c>
      <c r="E5" s="21" t="s">
        <v>328</v>
      </c>
      <c r="F5" s="21" t="s">
        <v>187</v>
      </c>
      <c r="G5" s="21" t="s">
        <v>189</v>
      </c>
      <c r="H5" s="21" t="s">
        <v>191</v>
      </c>
    </row>
    <row r="6" customFormat="false" ht="15" hidden="false" customHeight="true" outlineLevel="0" collapsed="false">
      <c r="A6" s="8" t="s">
        <v>237</v>
      </c>
      <c r="B6" s="47" t="n">
        <v>21.25</v>
      </c>
      <c r="C6" s="47" t="n">
        <v>25.75</v>
      </c>
      <c r="D6" s="47" t="n">
        <v>32.5</v>
      </c>
      <c r="E6" s="47" t="n">
        <v>43.75</v>
      </c>
      <c r="F6" s="47" t="n">
        <v>66.25</v>
      </c>
      <c r="G6" s="47" t="n">
        <v>133.75</v>
      </c>
      <c r="H6" s="57" t="s">
        <v>338</v>
      </c>
    </row>
    <row r="7" customFormat="false" ht="15" hidden="false" customHeight="true" outlineLevel="0" collapsed="false">
      <c r="A7" s="8" t="s">
        <v>238</v>
      </c>
      <c r="B7" s="47" t="n">
        <v>18.21</v>
      </c>
      <c r="C7" s="47" t="n">
        <v>21.46</v>
      </c>
      <c r="D7" s="47" t="n">
        <v>26</v>
      </c>
      <c r="E7" s="47" t="n">
        <v>32.81</v>
      </c>
      <c r="F7" s="47" t="n">
        <v>44.17</v>
      </c>
      <c r="G7" s="47" t="n">
        <v>66.88</v>
      </c>
      <c r="H7" s="47" t="n">
        <v>135</v>
      </c>
    </row>
    <row r="8" customFormat="false" ht="15" hidden="false" customHeight="true" outlineLevel="0" collapsed="false">
      <c r="A8" s="8" t="s">
        <v>239</v>
      </c>
      <c r="B8" s="47" t="n">
        <v>15.94</v>
      </c>
      <c r="C8" s="47" t="n">
        <v>18.39</v>
      </c>
      <c r="D8" s="47" t="n">
        <v>21.67</v>
      </c>
      <c r="E8" s="47" t="n">
        <v>26.25</v>
      </c>
      <c r="F8" s="47" t="n">
        <v>33.12</v>
      </c>
      <c r="G8" s="47" t="n">
        <v>44.58</v>
      </c>
      <c r="H8" s="47" t="n">
        <v>67.5</v>
      </c>
    </row>
    <row r="9" customFormat="false" ht="15" hidden="false" customHeight="true" outlineLevel="0" collapsed="false">
      <c r="A9" s="8" t="s">
        <v>240</v>
      </c>
      <c r="B9" s="47" t="n">
        <v>14.17</v>
      </c>
      <c r="C9" s="47" t="n">
        <v>16.09</v>
      </c>
      <c r="D9" s="47" t="n">
        <v>18.57</v>
      </c>
      <c r="E9" s="47" t="n">
        <v>21.88</v>
      </c>
      <c r="F9" s="47" t="n">
        <v>26.5</v>
      </c>
      <c r="G9" s="47" t="n">
        <v>33.44</v>
      </c>
      <c r="H9" s="47" t="n">
        <v>45</v>
      </c>
    </row>
    <row r="10" customFormat="false" ht="15" hidden="false" customHeight="true" outlineLevel="0" collapsed="false">
      <c r="A10" s="8" t="s">
        <v>241</v>
      </c>
      <c r="B10" s="47" t="n">
        <v>12.75</v>
      </c>
      <c r="C10" s="47" t="n">
        <v>14.31</v>
      </c>
      <c r="D10" s="47" t="n">
        <v>16.25</v>
      </c>
      <c r="E10" s="47" t="n">
        <v>18.75</v>
      </c>
      <c r="F10" s="47" t="n">
        <v>22.08</v>
      </c>
      <c r="G10" s="47" t="n">
        <v>26.75</v>
      </c>
      <c r="H10" s="47" t="n">
        <v>33.75</v>
      </c>
    </row>
    <row r="11" customFormat="false" ht="15" hidden="false" customHeight="true" outlineLevel="0" collapsed="false">
      <c r="A11" s="8" t="s">
        <v>242</v>
      </c>
      <c r="B11" s="47" t="n">
        <v>11.59</v>
      </c>
      <c r="C11" s="47" t="n">
        <v>12.88</v>
      </c>
      <c r="D11" s="47" t="n">
        <v>14.44</v>
      </c>
      <c r="E11" s="47" t="n">
        <v>16.41</v>
      </c>
      <c r="F11" s="47" t="n">
        <v>18.93</v>
      </c>
      <c r="G11" s="47" t="n">
        <v>22.29</v>
      </c>
      <c r="H11" s="47" t="n">
        <v>27</v>
      </c>
    </row>
    <row r="12" customFormat="false" ht="15" hidden="false" customHeight="true" outlineLevel="0" collapsed="false">
      <c r="A12" s="8" t="s">
        <v>243</v>
      </c>
      <c r="B12" s="47" t="n">
        <v>9.81</v>
      </c>
      <c r="C12" s="47" t="n">
        <v>10.73</v>
      </c>
      <c r="D12" s="47" t="n">
        <v>11.82</v>
      </c>
      <c r="E12" s="47" t="n">
        <v>13.13</v>
      </c>
      <c r="F12" s="47" t="n">
        <v>14.72</v>
      </c>
      <c r="G12" s="47" t="n">
        <v>16.72</v>
      </c>
      <c r="H12" s="47" t="n">
        <v>19.29</v>
      </c>
    </row>
    <row r="13" customFormat="false" ht="15" hidden="false" customHeight="true" outlineLevel="0" collapsed="false">
      <c r="A13" s="8" t="s">
        <v>244</v>
      </c>
      <c r="B13" s="47" t="n">
        <v>7.97</v>
      </c>
      <c r="C13" s="47" t="n">
        <v>8.58</v>
      </c>
      <c r="D13" s="47" t="n">
        <v>9.29</v>
      </c>
      <c r="E13" s="47" t="n">
        <v>10.1</v>
      </c>
      <c r="F13" s="47" t="n">
        <v>11.04</v>
      </c>
      <c r="G13" s="47" t="n">
        <v>12.16</v>
      </c>
      <c r="H13" s="47" t="n">
        <v>13.5</v>
      </c>
    </row>
    <row r="16" customFormat="false" ht="15.75" hidden="false" customHeight="true" outlineLevel="0" collapsed="false">
      <c r="A16" s="6" t="s">
        <v>339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8" hidden="false" customHeight="true" outlineLevel="0" collapsed="false">
      <c r="A17" s="21" t="s">
        <v>340</v>
      </c>
      <c r="B17" s="21" t="s">
        <v>341</v>
      </c>
      <c r="C17" s="21" t="s">
        <v>342</v>
      </c>
      <c r="D17" s="21" t="s">
        <v>343</v>
      </c>
      <c r="E17" s="21" t="s">
        <v>344</v>
      </c>
      <c r="F17" s="21" t="s">
        <v>345</v>
      </c>
      <c r="G17" s="21" t="s">
        <v>346</v>
      </c>
      <c r="H17" s="21" t="s">
        <v>347</v>
      </c>
    </row>
    <row r="18" customFormat="false" ht="15" hidden="false" customHeight="true" outlineLevel="0" collapsed="false">
      <c r="A18" s="8" t="s">
        <v>186</v>
      </c>
      <c r="B18" s="47" t="n">
        <v>25448.71</v>
      </c>
      <c r="C18" s="47" t="n">
        <v>27463.94</v>
      </c>
      <c r="D18" s="47" t="n">
        <v>29479.17</v>
      </c>
      <c r="E18" s="47" t="n">
        <v>31494.4</v>
      </c>
      <c r="F18" s="47" t="n">
        <v>33509.62</v>
      </c>
      <c r="G18" s="47" t="n">
        <v>34315.72</v>
      </c>
      <c r="H18" s="47" t="n">
        <v>35524.85</v>
      </c>
    </row>
    <row r="19" customFormat="false" ht="15" hidden="false" customHeight="true" outlineLevel="0" collapsed="false">
      <c r="A19" s="8" t="s">
        <v>187</v>
      </c>
      <c r="B19" s="47" t="n">
        <v>23097.62</v>
      </c>
      <c r="C19" s="47" t="n">
        <v>24944.91</v>
      </c>
      <c r="D19" s="47" t="n">
        <v>26792.2</v>
      </c>
      <c r="E19" s="47" t="n">
        <v>28639.49</v>
      </c>
      <c r="F19" s="47" t="n">
        <v>30486.78</v>
      </c>
      <c r="G19" s="47" t="n">
        <v>31225.7</v>
      </c>
      <c r="H19" s="47" t="n">
        <v>32334.07</v>
      </c>
    </row>
    <row r="20" customFormat="false" ht="15" hidden="false" customHeight="true" outlineLevel="0" collapsed="false">
      <c r="A20" s="8" t="s">
        <v>188</v>
      </c>
      <c r="B20" s="47" t="n">
        <v>21108.22</v>
      </c>
      <c r="C20" s="47" t="n">
        <v>22813.42</v>
      </c>
      <c r="D20" s="47" t="n">
        <v>24518.61</v>
      </c>
      <c r="E20" s="47" t="n">
        <v>26223.8</v>
      </c>
      <c r="F20" s="47" t="n">
        <v>27928.99</v>
      </c>
      <c r="G20" s="47" t="n">
        <v>28611.07</v>
      </c>
      <c r="H20" s="47" t="n">
        <v>29634.19</v>
      </c>
    </row>
    <row r="21" customFormat="false" ht="15" hidden="false" customHeight="true" outlineLevel="0" collapsed="false">
      <c r="A21" s="8" t="s">
        <v>189</v>
      </c>
      <c r="B21" s="47" t="n">
        <v>19403.03</v>
      </c>
      <c r="C21" s="47" t="n">
        <v>20986.43</v>
      </c>
      <c r="D21" s="47" t="n">
        <v>22569.82</v>
      </c>
      <c r="E21" s="47" t="n">
        <v>24153.21</v>
      </c>
      <c r="F21" s="47" t="n">
        <v>25736.6</v>
      </c>
      <c r="G21" s="47" t="n">
        <v>26369.96</v>
      </c>
      <c r="H21" s="47" t="n">
        <v>27320</v>
      </c>
    </row>
    <row r="22" customFormat="false" ht="15" hidden="false" customHeight="true" outlineLevel="0" collapsed="false">
      <c r="A22" s="8" t="s">
        <v>190</v>
      </c>
      <c r="B22" s="47" t="n">
        <v>17925.2</v>
      </c>
      <c r="C22" s="47" t="n">
        <v>19403.03</v>
      </c>
      <c r="D22" s="47" t="n">
        <v>20880.87</v>
      </c>
      <c r="E22" s="47" t="n">
        <v>22358.7</v>
      </c>
      <c r="F22" s="47" t="n">
        <v>23836.53</v>
      </c>
      <c r="G22" s="47" t="n">
        <v>24427.67</v>
      </c>
      <c r="H22" s="47" t="n">
        <v>25314.37</v>
      </c>
    </row>
    <row r="23" customFormat="false" ht="15" hidden="false" customHeight="true" outlineLevel="0" collapsed="false">
      <c r="A23" s="8" t="s">
        <v>191</v>
      </c>
      <c r="B23" s="47" t="n">
        <v>16632.09</v>
      </c>
      <c r="C23" s="47" t="n">
        <v>18017.56</v>
      </c>
      <c r="D23" s="47" t="n">
        <v>19403.03</v>
      </c>
      <c r="E23" s="47" t="n">
        <v>20788.5</v>
      </c>
      <c r="F23" s="47" t="n">
        <v>22173.97</v>
      </c>
      <c r="G23" s="47" t="n">
        <v>22728.16</v>
      </c>
      <c r="H23" s="47" t="n">
        <v>23559.44</v>
      </c>
    </row>
    <row r="24" customFormat="false" ht="15" hidden="false" customHeight="true" outlineLevel="0" collapsed="false">
      <c r="A24" s="8" t="s">
        <v>192</v>
      </c>
      <c r="B24" s="47" t="n">
        <v>15491.12</v>
      </c>
      <c r="C24" s="47" t="n">
        <v>16795.09</v>
      </c>
      <c r="D24" s="47" t="n">
        <v>18099.06</v>
      </c>
      <c r="E24" s="47" t="n">
        <v>19403.03</v>
      </c>
      <c r="F24" s="47" t="n">
        <v>20707</v>
      </c>
      <c r="G24" s="47" t="n">
        <v>21228.59</v>
      </c>
      <c r="H24" s="47" t="n">
        <v>22010.97</v>
      </c>
    </row>
    <row r="25" customFormat="false" ht="15" hidden="false" customHeight="true" outlineLevel="0" collapsed="false">
      <c r="A25" s="8" t="s">
        <v>193</v>
      </c>
      <c r="B25" s="47" t="n">
        <v>14476.92</v>
      </c>
      <c r="C25" s="47" t="n">
        <v>15708.45</v>
      </c>
      <c r="D25" s="47" t="n">
        <v>16939.98</v>
      </c>
      <c r="E25" s="47" t="n">
        <v>18171.5</v>
      </c>
      <c r="F25" s="47" t="n">
        <v>19403.03</v>
      </c>
      <c r="G25" s="47" t="n">
        <v>19895.64</v>
      </c>
      <c r="H25" s="47" t="n">
        <v>20634.56</v>
      </c>
    </row>
    <row r="28" customFormat="false" ht="15.75" hidden="false" customHeight="true" outlineLevel="0" collapsed="false">
      <c r="A28" s="6" t="s">
        <v>348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8" hidden="false" customHeight="true" outlineLevel="0" collapsed="false">
      <c r="A29" s="21" t="s">
        <v>349</v>
      </c>
      <c r="B29" s="21" t="s">
        <v>350</v>
      </c>
      <c r="C29" s="21" t="s">
        <v>351</v>
      </c>
      <c r="D29" s="21" t="s">
        <v>237</v>
      </c>
      <c r="E29" s="21" t="s">
        <v>238</v>
      </c>
      <c r="F29" s="21" t="s">
        <v>239</v>
      </c>
      <c r="G29" s="21" t="s">
        <v>241</v>
      </c>
      <c r="H29" s="21" t="s">
        <v>243</v>
      </c>
    </row>
    <row r="30" customFormat="false" ht="15" hidden="false" customHeight="true" outlineLevel="0" collapsed="false">
      <c r="A30" s="8" t="s">
        <v>352</v>
      </c>
      <c r="B30" s="47" t="n">
        <v>41.6</v>
      </c>
      <c r="C30" s="47" t="n">
        <v>27.73</v>
      </c>
      <c r="D30" s="47" t="n">
        <v>20.8</v>
      </c>
      <c r="E30" s="47" t="n">
        <v>16.64</v>
      </c>
      <c r="F30" s="47" t="n">
        <v>13.87</v>
      </c>
      <c r="G30" s="47" t="n">
        <v>10.4</v>
      </c>
      <c r="H30" s="47" t="n">
        <v>7.56</v>
      </c>
    </row>
    <row r="31" customFormat="false" ht="15" hidden="false" customHeight="true" outlineLevel="0" collapsed="false">
      <c r="A31" s="8" t="s">
        <v>353</v>
      </c>
      <c r="B31" s="47" t="n">
        <v>46.8</v>
      </c>
      <c r="C31" s="47" t="n">
        <v>31.2</v>
      </c>
      <c r="D31" s="47" t="n">
        <v>23.4</v>
      </c>
      <c r="E31" s="47" t="n">
        <v>18.72</v>
      </c>
      <c r="F31" s="47" t="n">
        <v>15.6</v>
      </c>
      <c r="G31" s="47" t="n">
        <v>11.7</v>
      </c>
      <c r="H31" s="47" t="n">
        <v>8.51</v>
      </c>
    </row>
    <row r="32" customFormat="false" ht="15" hidden="false" customHeight="true" outlineLevel="0" collapsed="false">
      <c r="A32" s="8" t="s">
        <v>245</v>
      </c>
      <c r="B32" s="47" t="n">
        <v>52</v>
      </c>
      <c r="C32" s="47" t="n">
        <v>34.67</v>
      </c>
      <c r="D32" s="47" t="n">
        <v>26</v>
      </c>
      <c r="E32" s="47" t="n">
        <v>20.8</v>
      </c>
      <c r="F32" s="47" t="n">
        <v>17.33</v>
      </c>
      <c r="G32" s="47" t="n">
        <v>13</v>
      </c>
      <c r="H32" s="47" t="n">
        <v>9.45</v>
      </c>
    </row>
    <row r="33" customFormat="false" ht="15" hidden="false" customHeight="true" outlineLevel="0" collapsed="false">
      <c r="A33" s="8" t="s">
        <v>246</v>
      </c>
      <c r="B33" s="47" t="n">
        <v>57.2</v>
      </c>
      <c r="C33" s="47" t="n">
        <v>38.13</v>
      </c>
      <c r="D33" s="47" t="n">
        <v>28.6</v>
      </c>
      <c r="E33" s="47" t="n">
        <v>22.88</v>
      </c>
      <c r="F33" s="47" t="n">
        <v>19.07</v>
      </c>
      <c r="G33" s="47" t="n">
        <v>14.3</v>
      </c>
      <c r="H33" s="47" t="n">
        <v>10.4</v>
      </c>
    </row>
    <row r="34" customFormat="false" ht="15" hidden="false" customHeight="true" outlineLevel="0" collapsed="false">
      <c r="A34" s="8" t="s">
        <v>247</v>
      </c>
      <c r="B34" s="47" t="n">
        <v>62.4</v>
      </c>
      <c r="C34" s="47" t="n">
        <v>41.6</v>
      </c>
      <c r="D34" s="47" t="n">
        <v>31.2</v>
      </c>
      <c r="E34" s="47" t="n">
        <v>24.96</v>
      </c>
      <c r="F34" s="47" t="n">
        <v>20.8</v>
      </c>
      <c r="G34" s="47" t="n">
        <v>15.6</v>
      </c>
      <c r="H34" s="47" t="n">
        <v>11.35</v>
      </c>
    </row>
    <row r="35" customFormat="false" ht="15" hidden="false" customHeight="true" outlineLevel="0" collapsed="false">
      <c r="A35" s="8" t="s">
        <v>248</v>
      </c>
      <c r="B35" s="47" t="n">
        <v>65</v>
      </c>
      <c r="C35" s="47" t="n">
        <v>43.33</v>
      </c>
      <c r="D35" s="47" t="n">
        <v>32.5</v>
      </c>
      <c r="E35" s="47" t="n">
        <v>26</v>
      </c>
      <c r="F35" s="47" t="n">
        <v>21.67</v>
      </c>
      <c r="G35" s="47" t="n">
        <v>16.25</v>
      </c>
      <c r="H35" s="47" t="n">
        <v>11.82</v>
      </c>
    </row>
    <row r="36" customFormat="false" ht="15" hidden="false" customHeight="true" outlineLevel="0" collapsed="false">
      <c r="A36" s="8" t="s">
        <v>249</v>
      </c>
      <c r="B36" s="47" t="n">
        <v>67.6</v>
      </c>
      <c r="C36" s="47" t="n">
        <v>45.07</v>
      </c>
      <c r="D36" s="47" t="n">
        <v>33.8</v>
      </c>
      <c r="E36" s="47" t="n">
        <v>27.04</v>
      </c>
      <c r="F36" s="47" t="n">
        <v>22.53</v>
      </c>
      <c r="G36" s="47" t="n">
        <v>16.9</v>
      </c>
      <c r="H36" s="47" t="n">
        <v>12.29</v>
      </c>
    </row>
    <row r="37" customFormat="false" ht="15" hidden="false" customHeight="true" outlineLevel="0" collapsed="false">
      <c r="A37" s="8" t="s">
        <v>251</v>
      </c>
      <c r="B37" s="47" t="n">
        <v>78</v>
      </c>
      <c r="C37" s="47" t="n">
        <v>52</v>
      </c>
      <c r="D37" s="47" t="n">
        <v>39</v>
      </c>
      <c r="E37" s="47" t="n">
        <v>31.2</v>
      </c>
      <c r="F37" s="47" t="n">
        <v>26</v>
      </c>
      <c r="G37" s="47" t="n">
        <v>19.5</v>
      </c>
      <c r="H37" s="47" t="n">
        <v>14.18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8"/>
    <col collapsed="false" customWidth="true" hidden="false" outlineLevel="0" max="4" min="4" style="1" width="20"/>
  </cols>
  <sheetData>
    <row r="1" customFormat="false" ht="24" hidden="false" customHeight="true" outlineLevel="0" collapsed="false">
      <c r="A1" s="2" t="s">
        <v>354</v>
      </c>
      <c r="B1" s="2"/>
      <c r="C1" s="2"/>
      <c r="D1" s="2"/>
    </row>
    <row r="2" customFormat="false" ht="15" hidden="false" customHeight="true" outlineLevel="0" collapsed="false">
      <c r="A2" s="10" t="s">
        <v>355</v>
      </c>
    </row>
    <row r="4" customFormat="false" ht="15.75" hidden="false" customHeight="true" outlineLevel="0" collapsed="false">
      <c r="A4" s="6" t="s">
        <v>356</v>
      </c>
      <c r="B4" s="7"/>
      <c r="C4" s="7"/>
      <c r="D4" s="7"/>
    </row>
    <row r="5" customFormat="false" ht="15.75" hidden="false" customHeight="true" outlineLevel="0" collapsed="false">
      <c r="A5" s="21" t="s">
        <v>357</v>
      </c>
      <c r="B5" s="21" t="s">
        <v>358</v>
      </c>
      <c r="C5" s="21" t="s">
        <v>359</v>
      </c>
      <c r="D5" s="21" t="s">
        <v>282</v>
      </c>
    </row>
    <row r="6" customFormat="false" ht="18" hidden="false" customHeight="true" outlineLevel="0" collapsed="false">
      <c r="A6" s="22" t="s">
        <v>360</v>
      </c>
      <c r="B6" s="18" t="n">
        <v>28.69</v>
      </c>
      <c r="C6" s="58" t="n">
        <v>0.4</v>
      </c>
      <c r="D6" s="59" t="s">
        <v>361</v>
      </c>
    </row>
    <row r="7" customFormat="false" ht="18" hidden="false" customHeight="true" outlineLevel="0" collapsed="false">
      <c r="A7" s="22" t="s">
        <v>362</v>
      </c>
      <c r="B7" s="18" t="n">
        <v>23286.54</v>
      </c>
      <c r="C7" s="58" t="n">
        <v>0.25</v>
      </c>
      <c r="D7" s="59" t="s">
        <v>363</v>
      </c>
    </row>
    <row r="8" customFormat="false" ht="18" hidden="false" customHeight="true" outlineLevel="0" collapsed="false">
      <c r="A8" s="22" t="s">
        <v>364</v>
      </c>
      <c r="B8" s="18" t="n">
        <v>11.82</v>
      </c>
      <c r="C8" s="58" t="n">
        <v>0.2</v>
      </c>
      <c r="D8" s="59" t="s">
        <v>365</v>
      </c>
    </row>
    <row r="9" customFormat="false" ht="18" hidden="false" customHeight="true" outlineLevel="0" collapsed="false">
      <c r="A9" s="22" t="s">
        <v>366</v>
      </c>
      <c r="B9" s="18" t="n">
        <v>7128.44</v>
      </c>
      <c r="C9" s="58" t="n">
        <v>0.15</v>
      </c>
      <c r="D9" s="59" t="s">
        <v>367</v>
      </c>
    </row>
    <row r="10" customFormat="false" ht="15" hidden="false" customHeight="true" outlineLevel="0" collapsed="false">
      <c r="A10" s="9" t="s">
        <v>368</v>
      </c>
      <c r="B10" s="31" t="n">
        <f aca="false">SUMPRODUCT(B6:B9,C6:C9)/SUM(C6:C9)</f>
        <v>6904.741</v>
      </c>
      <c r="C10" s="41"/>
      <c r="D10" s="41"/>
    </row>
    <row r="12" customFormat="false" ht="15.75" hidden="false" customHeight="true" outlineLevel="0" collapsed="false">
      <c r="A12" s="6" t="s">
        <v>369</v>
      </c>
      <c r="B12" s="7"/>
      <c r="C12" s="7"/>
      <c r="D12" s="7"/>
    </row>
    <row r="13" customFormat="false" ht="15.75" hidden="false" customHeight="true" outlineLevel="0" collapsed="false">
      <c r="A13" s="5" t="s">
        <v>370</v>
      </c>
      <c r="B13" s="26" t="n">
        <v>6</v>
      </c>
    </row>
    <row r="14" customFormat="false" ht="15.75" hidden="false" customHeight="true" outlineLevel="0" collapsed="false">
      <c r="A14" s="5" t="s">
        <v>371</v>
      </c>
      <c r="B14" s="60" t="n">
        <f aca="false">B10</f>
        <v>6904.741</v>
      </c>
    </row>
    <row r="15" customFormat="false" ht="15.75" hidden="false" customHeight="true" outlineLevel="0" collapsed="false">
      <c r="A15" s="4" t="s">
        <v>372</v>
      </c>
      <c r="B15" s="26" t="n">
        <v>28.69</v>
      </c>
    </row>
    <row r="16" customFormat="false" ht="15.75" hidden="false" customHeight="true" outlineLevel="0" collapsed="false">
      <c r="A16" s="4" t="s">
        <v>373</v>
      </c>
      <c r="B16" s="36" t="n">
        <f aca="false">(B12-6)/6</f>
        <v>-1</v>
      </c>
    </row>
    <row r="17" customFormat="false" ht="15.75" hidden="false" customHeight="true" outlineLevel="0" collapsed="false">
      <c r="A17" s="4" t="s">
        <v>179</v>
      </c>
      <c r="B17" s="36" t="n">
        <f aca="false">(6-28.69)/28.69</f>
        <v>-0.790867898222377</v>
      </c>
    </row>
    <row r="19" customFormat="false" ht="15.75" hidden="false" customHeight="true" outlineLevel="0" collapsed="false">
      <c r="A19" s="6" t="s">
        <v>374</v>
      </c>
      <c r="B19" s="7"/>
      <c r="C19" s="7"/>
      <c r="D19" s="7"/>
    </row>
    <row r="20" customFormat="false" ht="21.75" hidden="false" customHeight="true" outlineLevel="0" collapsed="false">
      <c r="A20" s="4" t="s">
        <v>375</v>
      </c>
      <c r="B20" s="61" t="s">
        <v>376</v>
      </c>
    </row>
    <row r="21" customFormat="false" ht="18" hidden="false" customHeight="true" outlineLevel="0" collapsed="false">
      <c r="A21" s="4" t="s">
        <v>377</v>
      </c>
      <c r="B21" s="62" t="s">
        <v>378</v>
      </c>
    </row>
    <row r="23" customFormat="false" ht="15.75" hidden="false" customHeight="true" outlineLevel="0" collapsed="false">
      <c r="A23" s="6" t="s">
        <v>379</v>
      </c>
      <c r="B23" s="7"/>
      <c r="C23" s="7"/>
      <c r="D23" s="7"/>
    </row>
    <row r="24" customFormat="false" ht="15.75" hidden="false" customHeight="true" outlineLevel="0" collapsed="false">
      <c r="A24" s="9" t="s">
        <v>380</v>
      </c>
      <c r="B24" s="63"/>
      <c r="C24" s="63"/>
      <c r="D24" s="63"/>
    </row>
    <row r="25" customFormat="false" ht="54.75" hidden="false" customHeight="true" outlineLevel="0" collapsed="false">
      <c r="A25" s="64" t="s">
        <v>381</v>
      </c>
      <c r="B25" s="64"/>
      <c r="C25" s="64"/>
      <c r="D25" s="64"/>
    </row>
    <row r="26" customFormat="false" ht="15.75" hidden="false" customHeight="true" outlineLevel="0" collapsed="false">
      <c r="A26" s="9" t="s">
        <v>382</v>
      </c>
      <c r="B26" s="63"/>
      <c r="C26" s="63"/>
      <c r="D26" s="63"/>
    </row>
    <row r="27" customFormat="false" ht="54.75" hidden="false" customHeight="true" outlineLevel="0" collapsed="false">
      <c r="A27" s="64" t="s">
        <v>383</v>
      </c>
      <c r="B27" s="64"/>
      <c r="C27" s="64"/>
      <c r="D27" s="64"/>
    </row>
    <row r="28" customFormat="false" ht="15.75" hidden="false" customHeight="true" outlineLevel="0" collapsed="false">
      <c r="A28" s="9" t="s">
        <v>384</v>
      </c>
      <c r="B28" s="63"/>
      <c r="C28" s="63"/>
      <c r="D28" s="63"/>
    </row>
    <row r="29" customFormat="false" ht="54.75" hidden="false" customHeight="true" outlineLevel="0" collapsed="false">
      <c r="A29" s="64" t="s">
        <v>385</v>
      </c>
      <c r="B29" s="64"/>
      <c r="C29" s="64"/>
      <c r="D29" s="64"/>
    </row>
    <row r="30" customFormat="false" ht="15.75" hidden="false" customHeight="true" outlineLevel="0" collapsed="false">
      <c r="A30" s="9" t="s">
        <v>386</v>
      </c>
      <c r="B30" s="63"/>
      <c r="C30" s="63"/>
      <c r="D30" s="63"/>
    </row>
    <row r="31" customFormat="false" ht="54.75" hidden="false" customHeight="true" outlineLevel="0" collapsed="false">
      <c r="A31" s="64" t="s">
        <v>387</v>
      </c>
      <c r="B31" s="64"/>
      <c r="C31" s="64"/>
      <c r="D31" s="64"/>
    </row>
    <row r="32" customFormat="false" ht="15.75" hidden="false" customHeight="true" outlineLevel="0" collapsed="false">
      <c r="A32" s="9" t="s">
        <v>388</v>
      </c>
      <c r="B32" s="63"/>
      <c r="C32" s="63"/>
      <c r="D32" s="63"/>
    </row>
    <row r="33" customFormat="false" ht="54.75" hidden="false" customHeight="true" outlineLevel="0" collapsed="false">
      <c r="A33" s="64" t="s">
        <v>389</v>
      </c>
      <c r="B33" s="64"/>
      <c r="C33" s="64"/>
      <c r="D33" s="64"/>
    </row>
  </sheetData>
  <mergeCells count="6">
    <mergeCell ref="A1:D1"/>
    <mergeCell ref="A25:D25"/>
    <mergeCell ref="A27:D27"/>
    <mergeCell ref="A29:D29"/>
    <mergeCell ref="A31:D31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2026-06-05T19:32:10Z</dcterms:created>
  <dc:creator>openpyxl</dc:creator>
  <dc:description/>
  <dc:language>en-US</dc:language>
  <cp:lastModifiedBy/>
  <dcterms:modified xsi:type="dcterms:W3CDTF">2026-06-06T18:24:03Z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